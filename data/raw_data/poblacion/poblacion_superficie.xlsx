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NCFP\Recursos\internet\Publicaciones\NUEVA WEB DINREP\1.Poblacionysuperficie\"/>
    </mc:Choice>
  </mc:AlternateContent>
  <xr:revisionPtr revIDLastSave="0" documentId="13_ncr:1_{DA78C2A7-9C9C-4FD6-9D15-C068E0D8BDC1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poblacion" sheetId="2" r:id="rId1"/>
    <sheet name="indice_femineidad" sheetId="6" r:id="rId2"/>
    <sheet name="crecimiento_poblacional" sheetId="4" r:id="rId3"/>
    <sheet name="densidad" sheetId="3" r:id="rId4"/>
    <sheet name="superficie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3" l="1"/>
  <c r="B28" i="3"/>
</calcChain>
</file>

<file path=xl/sharedStrings.xml><?xml version="1.0" encoding="utf-8"?>
<sst xmlns="http://schemas.openxmlformats.org/spreadsheetml/2006/main" count="174" uniqueCount="59">
  <si>
    <t>Buenos Aires</t>
  </si>
  <si>
    <t>Catamarca</t>
  </si>
  <si>
    <t>Chaco</t>
  </si>
  <si>
    <t>Chubut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</si>
  <si>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</si>
  <si>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</si>
  <si>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</si>
  <si>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</si>
  <si>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</si>
  <si>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</si>
  <si>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</si>
  <si>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</si>
  <si>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</si>
  <si>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</si>
  <si>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</si>
  <si>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</si>
  <si>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</si>
  <si>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</si>
  <si>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</si>
  <si>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</si>
  <si>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</si>
  <si>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</si>
  <si>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C.A.B.A</t>
  </si>
  <si>
    <t>Córdoba</t>
  </si>
  <si>
    <t>1970-1980</t>
  </si>
  <si>
    <t>1980-1991</t>
  </si>
  <si>
    <t>1991-2001</t>
  </si>
  <si>
    <t>2001-2010</t>
  </si>
  <si>
    <t>2010-2022</t>
  </si>
  <si>
    <t>Km2</t>
  </si>
  <si>
    <t>Ministerio de Economía de la Nación / Secretaría de Hacienda / Subsecretaría de Coordinación Fiscal Provincial / Dirección Nacional de Asuntos Provinciales</t>
  </si>
  <si>
    <t>https://www.economia.gob.ar/dnap/economica.html</t>
  </si>
  <si>
    <t>Población total (habitanes)</t>
  </si>
  <si>
    <t>Tasa de crecimiento anual de población (%)</t>
  </si>
  <si>
    <t>Densidad (habitantes/km2)</t>
  </si>
  <si>
    <t>Indice de femineidad (mujeres c/100 hombres)</t>
  </si>
  <si>
    <t>Superficie (km2)</t>
  </si>
  <si>
    <t>Total Jurisdicciones</t>
  </si>
  <si>
    <r>
      <t>Definición</t>
    </r>
    <r>
      <rPr>
        <sz val="10"/>
        <color indexed="8"/>
        <rFont val="Arial"/>
        <family val="2"/>
      </rPr>
      <t>: número de habitantes de cada provincia y la Ciudad Autónoma de Buenos Aires.</t>
    </r>
  </si>
  <si>
    <r>
      <t>Definición</t>
    </r>
    <r>
      <rPr>
        <sz val="10"/>
        <color indexed="8"/>
        <rFont val="Arial"/>
        <family val="2"/>
      </rPr>
      <t>: el índice de femeneidad se refiere a la cantidad de población femenina existente en una jurisdicción determinada por cada 100 hombres de la misma.</t>
    </r>
  </si>
  <si>
    <r>
      <t>Definición</t>
    </r>
    <r>
      <rPr>
        <sz val="10"/>
        <color indexed="8"/>
        <rFont val="Arial"/>
        <family val="2"/>
      </rPr>
      <t>: es el porcentaje de crecimiento anual de la población.</t>
    </r>
  </si>
  <si>
    <t>JURISDICCIONES</t>
  </si>
  <si>
    <t>1970 (*)</t>
  </si>
  <si>
    <t>1980 (*)</t>
  </si>
  <si>
    <t>1991 (*)</t>
  </si>
  <si>
    <t>2001 (*)</t>
  </si>
  <si>
    <t>Años 2011-2021: INDEC (2013)- Proyecciones provinciales de población por sexo y grupo de edad 2010-2040</t>
  </si>
  <si>
    <t>https://www.indec.gob.ar/ftp/cuadros/publicaciones/proyecciones_prov_2010_2040.pdf</t>
  </si>
  <si>
    <t>Años 2022-2040: INDEC (2022): Estimaciones y proyecciones de población, por sexo y grupos de edad. Jurisdicciones. Años 2022-2040</t>
  </si>
  <si>
    <t>https://www.indec.gob.ar/ftp/cuadros/publicaciones/proyecciones_jurisdicciones_2022_2040.pdf</t>
  </si>
  <si>
    <t>Tierra del Fuego*</t>
  </si>
  <si>
    <t>"https://www.indec.gob.ar/ftp/cuadros/poblacion/c2022_t</t>
  </si>
  <si>
    <r>
      <rPr>
        <b/>
        <sz val="10"/>
        <color rgb="FF000000"/>
        <rFont val="Arial"/>
        <family val="2"/>
      </rPr>
      <t>Definición</t>
    </r>
    <r>
      <rPr>
        <sz val="10"/>
        <color indexed="8"/>
        <rFont val="Arial"/>
        <family val="2"/>
      </rPr>
      <t>: número de habitantes por km².</t>
    </r>
  </si>
  <si>
    <t>*Tierra del Fuego: la superficie considerando sólo a la Isla Grande de Tierra del Fuego (departamentos Ushuaia y Río Grande) asciende a 21.571 km2.</t>
  </si>
  <si>
    <r>
      <t>Fuente</t>
    </r>
    <r>
      <rPr>
        <sz val="10"/>
        <color indexed="8"/>
        <rFont val="Arial"/>
        <family val="2"/>
      </rPr>
      <t>: (*) Los datos de los años 1970, 1980, 1991, 2001 fueron recabados de los censos nacionales de población, mientras que los años 2011 a 2040:</t>
    </r>
  </si>
  <si>
    <r>
      <rPr>
        <sz val="10"/>
        <color indexed="8"/>
        <rFont val="Arial"/>
        <family val="2"/>
      </rPr>
      <t xml:space="preserve">*La densidad de la provincia de Tierra del Fuego, Antártida e Islas del Atlántico Sur considerando sólo </t>
    </r>
    <r>
      <rPr>
        <sz val="10"/>
        <color rgb="FF000000"/>
        <rFont val="Arial"/>
        <family val="2"/>
      </rPr>
      <t>la superficie de la Isla Grande de Tierra del Fuego (departamentos Ushuaia y Río Grande), con los datos de superficie publicados en el censo poblacional de 2022, ascendería a 5,9 hab/km2 en 2010 y 8,6 hab/km2 en 2022.</t>
    </r>
  </si>
  <si>
    <r>
      <t>Fuente</t>
    </r>
    <r>
      <rPr>
        <sz val="10"/>
        <color indexed="8"/>
        <rFont val="Arial"/>
        <family val="2"/>
      </rPr>
      <t>: Elaboración propia en base a los censos nacionales de población de los años 1970, 1980, 1991, 2001, 2010 y 2022.</t>
    </r>
  </si>
  <si>
    <r>
      <t>Fuente</t>
    </r>
    <r>
      <rPr>
        <sz val="10"/>
        <color indexed="8"/>
        <rFont val="Arial"/>
        <family val="2"/>
      </rPr>
      <t xml:space="preserve">: Elaboración propia en base a:  </t>
    </r>
  </si>
  <si>
    <r>
      <rPr>
        <b/>
        <sz val="10"/>
        <color rgb="FF000000"/>
        <rFont val="Arial"/>
        <family val="2"/>
      </rPr>
      <t xml:space="preserve">Fuente: </t>
    </r>
    <r>
      <rPr>
        <sz val="10"/>
        <color rgb="FF000000"/>
        <rFont val="Arial"/>
        <family val="2"/>
      </rPr>
      <t>INDEC (2022)</t>
    </r>
    <r>
      <rPr>
        <b/>
        <sz val="10"/>
        <color rgb="FF000000"/>
        <rFont val="Arial"/>
        <family val="2"/>
      </rPr>
      <t xml:space="preserve">, </t>
    </r>
    <r>
      <rPr>
        <sz val="10"/>
        <color rgb="FF000000"/>
        <rFont val="Arial"/>
        <family val="2"/>
      </rPr>
      <t>Censo Nacional de Población, Hogares y Viviendas 2022. Resultados definitivos. Cuadro 2. Total del país. Total de población y densidad, por superficie, según jurisdicción. Años 2010 y 2022.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</si>
</sst>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19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9"/>
      <color rgb="FF000000"/>
      <name val="Arial"/>
      <family val="2"/>
    </font>
    <font>
      <sz val="14"/>
      <color indexed="8"/>
      <name val="Arial"/>
      <family val="2"/>
    </font>
    <font>
      <b/>
      <sz val="10"/>
      <color theme="1"/>
      <name val="Arial"/>
      <family val="2"/>
    </font>
    <font>
      <b/>
      <sz val="18"/>
      <color indexed="8"/>
      <name val="Arial"/>
      <family val="2"/>
    </font>
    <font>
      <b/>
      <sz val="12"/>
      <color rgb="FF000000"/>
      <name val="Arial"/>
      <family val="2"/>
    </font>
    <font>
      <b/>
      <sz val="10"/>
      <color theme="1" tint="0.249977111117893"/>
      <name val="Arial"/>
      <family val="2"/>
    </font>
    <font>
      <b/>
      <sz val="14"/>
      <color theme="1" tint="0.249977111117893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62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 applyAlignment="1">
      <alignment vertical="top"/>
    </xf>
    <xf numFmtId="0" fontId="5" fillId="2" borderId="0" xfId="0" applyFont="1" applyFill="1"/>
    <xf numFmtId="0" fontId="5" fillId="0" borderId="0" xfId="0" applyFont="1"/>
    <xf numFmtId="2" fontId="6" fillId="0" borderId="0" xfId="0" applyNumberFormat="1" applyFont="1"/>
    <xf numFmtId="0" fontId="7" fillId="2" borderId="0" xfId="0" applyFont="1" applyFill="1" applyAlignment="1">
      <alignment vertical="center"/>
    </xf>
    <xf numFmtId="2" fontId="6" fillId="2" borderId="0" xfId="0" applyNumberFormat="1" applyFont="1" applyFill="1"/>
    <xf numFmtId="0" fontId="12" fillId="0" borderId="0" xfId="0" applyFont="1"/>
    <xf numFmtId="0" fontId="13" fillId="0" borderId="0" xfId="0" applyFont="1"/>
    <xf numFmtId="3" fontId="12" fillId="0" borderId="0" xfId="0" applyNumberFormat="1" applyFont="1"/>
    <xf numFmtId="4" fontId="12" fillId="0" borderId="0" xfId="0" applyNumberFormat="1" applyFont="1"/>
    <xf numFmtId="4" fontId="13" fillId="0" borderId="0" xfId="0" applyNumberFormat="1" applyFont="1"/>
    <xf numFmtId="0" fontId="14" fillId="2" borderId="1" xfId="4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1" fillId="0" borderId="0" xfId="0" applyFont="1" applyAlignment="1">
      <alignment vertical="top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/>
    <xf numFmtId="3" fontId="2" fillId="2" borderId="2" xfId="0" applyNumberFormat="1" applyFont="1" applyFill="1" applyBorder="1"/>
    <xf numFmtId="0" fontId="3" fillId="2" borderId="2" xfId="0" applyFont="1" applyFill="1" applyBorder="1"/>
    <xf numFmtId="3" fontId="3" fillId="2" borderId="2" xfId="0" applyNumberFormat="1" applyFont="1" applyFill="1" applyBorder="1"/>
    <xf numFmtId="0" fontId="11" fillId="2" borderId="0" xfId="0" applyFont="1" applyFill="1" applyAlignment="1">
      <alignment vertical="top"/>
    </xf>
    <xf numFmtId="1" fontId="1" fillId="2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/>
    <xf numFmtId="165" fontId="6" fillId="2" borderId="2" xfId="0" applyNumberFormat="1" applyFont="1" applyFill="1" applyBorder="1"/>
    <xf numFmtId="165" fontId="6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/>
    <xf numFmtId="165" fontId="9" fillId="2" borderId="2" xfId="0" applyNumberFormat="1" applyFont="1" applyFill="1" applyBorder="1"/>
    <xf numFmtId="164" fontId="2" fillId="2" borderId="2" xfId="0" applyNumberFormat="1" applyFont="1" applyFill="1" applyBorder="1"/>
    <xf numFmtId="3" fontId="6" fillId="2" borderId="2" xfId="0" applyNumberFormat="1" applyFont="1" applyFill="1" applyBorder="1"/>
    <xf numFmtId="3" fontId="6" fillId="2" borderId="2" xfId="0" applyNumberFormat="1" applyFont="1" applyFill="1" applyBorder="1" applyAlignment="1">
      <alignment horizontal="right"/>
    </xf>
    <xf numFmtId="0" fontId="2" fillId="0" borderId="0" xfId="1"/>
    <xf numFmtId="0" fontId="7" fillId="0" borderId="0" xfId="1" applyFont="1" applyAlignment="1">
      <alignment horizontal="justify" vertical="top" wrapText="1"/>
    </xf>
    <xf numFmtId="0" fontId="7" fillId="0" borderId="0" xfId="1" applyFont="1" applyAlignment="1">
      <alignment vertical="top" wrapText="1"/>
    </xf>
    <xf numFmtId="0" fontId="8" fillId="0" borderId="0" xfId="0" applyFont="1"/>
    <xf numFmtId="0" fontId="14" fillId="0" borderId="1" xfId="4" applyFill="1" applyBorder="1" applyAlignment="1">
      <alignment vertical="center"/>
    </xf>
    <xf numFmtId="0" fontId="11" fillId="0" borderId="0" xfId="1" applyFont="1" applyAlignment="1">
      <alignment vertical="top"/>
    </xf>
    <xf numFmtId="0" fontId="1" fillId="0" borderId="2" xfId="1" applyFont="1" applyBorder="1" applyAlignment="1">
      <alignment horizontal="center" vertical="center" wrapText="1"/>
    </xf>
    <xf numFmtId="0" fontId="2" fillId="0" borderId="2" xfId="1" applyBorder="1"/>
    <xf numFmtId="0" fontId="3" fillId="0" borderId="2" xfId="1" applyFont="1" applyBorder="1"/>
    <xf numFmtId="0" fontId="2" fillId="0" borderId="0" xfId="1" applyAlignment="1">
      <alignment horizontal="left"/>
    </xf>
    <xf numFmtId="0" fontId="7" fillId="0" borderId="0" xfId="1" applyFont="1" applyAlignment="1">
      <alignment wrapText="1"/>
    </xf>
    <xf numFmtId="164" fontId="2" fillId="0" borderId="2" xfId="1" applyNumberFormat="1" applyBorder="1"/>
    <xf numFmtId="164" fontId="3" fillId="0" borderId="2" xfId="1" applyNumberFormat="1" applyFont="1" applyBorder="1"/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17" fillId="0" borderId="0" xfId="0" applyFont="1"/>
    <xf numFmtId="0" fontId="18" fillId="0" borderId="0" xfId="0" applyFont="1"/>
    <xf numFmtId="0" fontId="4" fillId="0" borderId="0" xfId="1" applyFont="1"/>
    <xf numFmtId="0" fontId="18" fillId="2" borderId="0" xfId="0" applyFont="1" applyFill="1"/>
    <xf numFmtId="0" fontId="14" fillId="0" borderId="0" xfId="4" applyAlignment="1">
      <alignment horizontal="left"/>
    </xf>
    <xf numFmtId="0" fontId="2" fillId="0" borderId="0" xfId="0" applyFont="1"/>
    <xf numFmtId="4" fontId="2" fillId="2" borderId="2" xfId="0" applyNumberFormat="1" applyFont="1" applyFill="1" applyBorder="1"/>
    <xf numFmtId="0" fontId="14" fillId="0" borderId="0" xfId="4"/>
    <xf numFmtId="0" fontId="15" fillId="2" borderId="0" xfId="0" applyFont="1" applyFill="1"/>
    <xf numFmtId="0" fontId="14" fillId="0" borderId="0" xfId="4" applyAlignment="1"/>
    <xf numFmtId="0" fontId="3" fillId="2" borderId="2" xfId="0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5" fillId="2" borderId="0" xfId="0" applyFont="1" applyFill="1" applyAlignment="1">
      <alignment horizontal="left" vertical="center"/>
    </xf>
  </cellXfs>
  <cellStyles count="5">
    <cellStyle name="ANCLAS,REZONES Y SUS PARTES,DE FUNDICION,DE HIERRO O DE ACERO" xfId="3" xr:uid="{00000000-0005-0000-0000-000000000000}"/>
    <cellStyle name="Hipervínculo" xfId="4" builtinId="8"/>
    <cellStyle name="Normal" xfId="0" builtinId="0"/>
    <cellStyle name="Normal 2" xfId="1" xr:uid="{00000000-0005-0000-0000-000003000000}"/>
    <cellStyle name="Porcentaje 2" xfId="2" xr:uid="{00000000-0005-0000-0000-000004000000}"/>
  </cellStyles>
  <dxfs count="0"/>
  <tableStyles count="0" defaultTableStyle="TableStyleMedium2" defaultPivotStyle="PivotStyleLight16"/>
  <colors>
    <mruColors>
      <color rgb="FF4EC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DNCFP\Recursos\Datos%20Econ&#243;micos\1.Poblacionysuperficie\c2022_tp_est_c2-1.xlsx" TargetMode="External"/><Relationship Id="rId1" Type="http://schemas.openxmlformats.org/officeDocument/2006/relationships/externalLinkPath" Target="/DNCFP/Recursos/Datos%20Econ&#243;micos/1.Poblacionysuperficie/c2022_tp_est_c2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átula"/>
      <sheetName val="Índice"/>
      <sheetName val="Cuadro 2"/>
    </sheetNames>
    <sheetDataSet>
      <sheetData sheetId="0"/>
      <sheetData sheetId="1"/>
      <sheetData sheetId="2">
        <row r="29">
          <cell r="F29">
            <v>185732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ec.gob.ar/ftp/cuadros/publicaciones/proyecciones_jurisdicciones_2022_2040.pdf" TargetMode="External"/><Relationship Id="rId2" Type="http://schemas.openxmlformats.org/officeDocument/2006/relationships/hyperlink" Target="https://www.indec.gob.ar/ftp/cuadros/publicaciones/proyecciones_prov_2010_2040.pdf" TargetMode="External"/><Relationship Id="rId1" Type="http://schemas.openxmlformats.org/officeDocument/2006/relationships/hyperlink" Target="https://www.economia.gob.ar/dnap/economica.html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indec.gob.ar/ftp/cuadros/publicaciones/proyecciones_jurisdicciones_2022_2040.pdf" TargetMode="External"/><Relationship Id="rId1" Type="http://schemas.openxmlformats.org/officeDocument/2006/relationships/hyperlink" Target="https://www.economia.gob.ar/dnap/economica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economia.gob.ar/dnap/economica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indec.gob.ar/ftp/cuadros/poblacion/c2022_tp_est_c2.xlsx" TargetMode="External"/><Relationship Id="rId1" Type="http://schemas.openxmlformats.org/officeDocument/2006/relationships/hyperlink" Target="https://www.economia.gob.ar/dnap/economica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indec.gob.ar/ftp/cuadros/poblacion/c2022_tp_est_c2.xlsx" TargetMode="External"/><Relationship Id="rId1" Type="http://schemas.openxmlformats.org/officeDocument/2006/relationships/hyperlink" Target="https://www.economia.gob.ar/dnap/economic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39"/>
  <sheetViews>
    <sheetView showGridLines="0" workbookViewId="0">
      <selection activeCell="Q30" sqref="Q30"/>
    </sheetView>
  </sheetViews>
  <sheetFormatPr baseColWidth="10" defaultRowHeight="15" x14ac:dyDescent="0.25"/>
  <cols>
    <col min="1" max="1" width="21.7109375" customWidth="1"/>
    <col min="2" max="18" width="11.42578125" customWidth="1"/>
    <col min="186" max="186" width="20" bestFit="1" customWidth="1"/>
    <col min="442" max="442" width="20" bestFit="1" customWidth="1"/>
    <col min="698" max="698" width="20" bestFit="1" customWidth="1"/>
    <col min="954" max="954" width="20" bestFit="1" customWidth="1"/>
    <col min="1210" max="1210" width="20" bestFit="1" customWidth="1"/>
    <col min="1466" max="1466" width="20" bestFit="1" customWidth="1"/>
    <col min="1722" max="1722" width="20" bestFit="1" customWidth="1"/>
    <col min="1978" max="1978" width="20" bestFit="1" customWidth="1"/>
    <col min="2234" max="2234" width="20" bestFit="1" customWidth="1"/>
    <col min="2490" max="2490" width="20" bestFit="1" customWidth="1"/>
    <col min="2746" max="2746" width="20" bestFit="1" customWidth="1"/>
    <col min="3002" max="3002" width="20" bestFit="1" customWidth="1"/>
    <col min="3258" max="3258" width="20" bestFit="1" customWidth="1"/>
    <col min="3514" max="3514" width="20" bestFit="1" customWidth="1"/>
    <col min="3770" max="3770" width="20" bestFit="1" customWidth="1"/>
    <col min="4026" max="4026" width="20" bestFit="1" customWidth="1"/>
    <col min="4282" max="4282" width="20" bestFit="1" customWidth="1"/>
    <col min="4538" max="4538" width="20" bestFit="1" customWidth="1"/>
    <col min="4794" max="4794" width="20" bestFit="1" customWidth="1"/>
    <col min="5050" max="5050" width="20" bestFit="1" customWidth="1"/>
    <col min="5306" max="5306" width="20" bestFit="1" customWidth="1"/>
    <col min="5562" max="5562" width="20" bestFit="1" customWidth="1"/>
    <col min="5818" max="5818" width="20" bestFit="1" customWidth="1"/>
    <col min="6074" max="6074" width="20" bestFit="1" customWidth="1"/>
    <col min="6330" max="6330" width="20" bestFit="1" customWidth="1"/>
    <col min="6586" max="6586" width="20" bestFit="1" customWidth="1"/>
    <col min="6842" max="6842" width="20" bestFit="1" customWidth="1"/>
    <col min="7098" max="7098" width="20" bestFit="1" customWidth="1"/>
    <col min="7354" max="7354" width="20" bestFit="1" customWidth="1"/>
    <col min="7610" max="7610" width="20" bestFit="1" customWidth="1"/>
    <col min="7866" max="7866" width="20" bestFit="1" customWidth="1"/>
    <col min="8122" max="8122" width="20" bestFit="1" customWidth="1"/>
    <col min="8378" max="8378" width="20" bestFit="1" customWidth="1"/>
    <col min="8634" max="8634" width="20" bestFit="1" customWidth="1"/>
    <col min="8890" max="8890" width="20" bestFit="1" customWidth="1"/>
    <col min="9146" max="9146" width="20" bestFit="1" customWidth="1"/>
    <col min="9402" max="9402" width="20" bestFit="1" customWidth="1"/>
    <col min="9658" max="9658" width="20" bestFit="1" customWidth="1"/>
    <col min="9914" max="9914" width="20" bestFit="1" customWidth="1"/>
    <col min="10170" max="10170" width="20" bestFit="1" customWidth="1"/>
    <col min="10426" max="10426" width="20" bestFit="1" customWidth="1"/>
    <col min="10682" max="10682" width="20" bestFit="1" customWidth="1"/>
    <col min="10938" max="10938" width="20" bestFit="1" customWidth="1"/>
    <col min="11194" max="11194" width="20" bestFit="1" customWidth="1"/>
    <col min="11450" max="11450" width="20" bestFit="1" customWidth="1"/>
    <col min="11706" max="11706" width="20" bestFit="1" customWidth="1"/>
    <col min="11962" max="11962" width="20" bestFit="1" customWidth="1"/>
    <col min="12218" max="12218" width="20" bestFit="1" customWidth="1"/>
    <col min="12474" max="12474" width="20" bestFit="1" customWidth="1"/>
    <col min="12730" max="12730" width="20" bestFit="1" customWidth="1"/>
    <col min="12986" max="12986" width="20" bestFit="1" customWidth="1"/>
    <col min="13242" max="13242" width="20" bestFit="1" customWidth="1"/>
    <col min="13498" max="13498" width="20" bestFit="1" customWidth="1"/>
    <col min="13754" max="13754" width="20" bestFit="1" customWidth="1"/>
    <col min="14010" max="14010" width="20" bestFit="1" customWidth="1"/>
    <col min="14266" max="14266" width="20" bestFit="1" customWidth="1"/>
    <col min="14522" max="14522" width="20" bestFit="1" customWidth="1"/>
    <col min="14778" max="14778" width="20" bestFit="1" customWidth="1"/>
    <col min="15034" max="15034" width="20" bestFit="1" customWidth="1"/>
    <col min="15290" max="15290" width="20" bestFit="1" customWidth="1"/>
    <col min="15546" max="15546" width="20" bestFit="1" customWidth="1"/>
    <col min="15802" max="15802" width="20" bestFit="1" customWidth="1"/>
    <col min="16058" max="16058" width="20" bestFit="1" customWidth="1"/>
  </cols>
  <sheetData>
    <row r="1" spans="1:36" ht="18" x14ac:dyDescent="0.25">
      <c r="A1" s="9" t="s">
        <v>30</v>
      </c>
      <c r="B1" s="10"/>
      <c r="C1" s="11"/>
      <c r="D1" s="12"/>
      <c r="E1" s="13"/>
      <c r="F1" s="10"/>
      <c r="G1" s="10"/>
      <c r="H1" s="9"/>
      <c r="I1" s="9"/>
      <c r="J1" s="9"/>
      <c r="K1" s="9"/>
      <c r="L1" s="9"/>
      <c r="M1" s="9"/>
      <c r="N1" s="9"/>
    </row>
    <row r="2" spans="1:36" ht="21" customHeight="1" x14ac:dyDescent="0.25">
      <c r="A2" s="14" t="s">
        <v>31</v>
      </c>
      <c r="B2" s="15"/>
      <c r="C2" s="15"/>
      <c r="D2" s="15"/>
      <c r="E2" s="15"/>
      <c r="F2" s="15"/>
      <c r="G2" s="15"/>
      <c r="H2" s="15"/>
      <c r="I2" s="16"/>
      <c r="J2" s="16"/>
      <c r="K2" s="16"/>
      <c r="L2" s="16"/>
      <c r="M2" s="16"/>
      <c r="N2" s="16"/>
    </row>
    <row r="3" spans="1:36" x14ac:dyDescent="0.25">
      <c r="A3" s="1"/>
      <c r="B3" s="1"/>
      <c r="C3" s="1"/>
      <c r="D3" s="1"/>
      <c r="E3" s="1"/>
      <c r="F3" s="1"/>
      <c r="G3" s="1"/>
      <c r="H3" s="3"/>
      <c r="I3" s="2"/>
      <c r="J3" s="1"/>
      <c r="K3" s="1"/>
    </row>
    <row r="4" spans="1:36" ht="15" customHeight="1" x14ac:dyDescent="0.25">
      <c r="A4" s="23" t="s">
        <v>32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36" ht="15" customHeight="1" x14ac:dyDescent="0.25">
      <c r="A5" s="18" t="s">
        <v>41</v>
      </c>
      <c r="B5" s="18" t="s">
        <v>42</v>
      </c>
      <c r="C5" s="18" t="s">
        <v>43</v>
      </c>
      <c r="D5" s="24" t="s">
        <v>44</v>
      </c>
      <c r="E5" s="18" t="s">
        <v>45</v>
      </c>
      <c r="F5" s="18">
        <v>2010</v>
      </c>
      <c r="G5" s="18">
        <v>2011</v>
      </c>
      <c r="H5" s="18">
        <v>2012</v>
      </c>
      <c r="I5" s="18">
        <v>2013</v>
      </c>
      <c r="J5" s="18">
        <v>2014</v>
      </c>
      <c r="K5" s="18">
        <v>2015</v>
      </c>
      <c r="L5" s="18">
        <v>2016</v>
      </c>
      <c r="M5" s="18">
        <v>2017</v>
      </c>
      <c r="N5" s="18">
        <v>2018</v>
      </c>
      <c r="O5" s="18">
        <v>2019</v>
      </c>
      <c r="P5" s="18">
        <v>2020</v>
      </c>
      <c r="Q5" s="18">
        <v>2021</v>
      </c>
      <c r="R5" s="18">
        <v>2022</v>
      </c>
      <c r="S5" s="18">
        <v>2023</v>
      </c>
      <c r="T5" s="18">
        <v>2024</v>
      </c>
      <c r="U5" s="18">
        <v>2025</v>
      </c>
      <c r="V5" s="18">
        <v>2026</v>
      </c>
      <c r="W5" s="18">
        <v>2027</v>
      </c>
      <c r="X5" s="18">
        <v>2028</v>
      </c>
      <c r="Y5" s="18">
        <v>2029</v>
      </c>
      <c r="Z5" s="18">
        <v>2030</v>
      </c>
      <c r="AA5" s="18">
        <v>2031</v>
      </c>
      <c r="AB5" s="18">
        <v>2032</v>
      </c>
      <c r="AC5" s="18">
        <v>2033</v>
      </c>
      <c r="AD5" s="18">
        <v>2034</v>
      </c>
      <c r="AE5" s="18">
        <v>2035</v>
      </c>
      <c r="AF5" s="18">
        <v>2036</v>
      </c>
      <c r="AG5" s="18">
        <v>2037</v>
      </c>
      <c r="AH5" s="18">
        <v>2038</v>
      </c>
      <c r="AI5" s="18">
        <v>2039</v>
      </c>
      <c r="AJ5" s="18">
        <v>2040</v>
      </c>
    </row>
    <row r="6" spans="1:36" ht="15" customHeight="1" x14ac:dyDescent="0.25">
      <c r="A6" s="19" t="s">
        <v>0</v>
      </c>
      <c r="B6" s="20">
        <v>8774529</v>
      </c>
      <c r="C6" s="20">
        <v>10865408</v>
      </c>
      <c r="D6" s="20">
        <v>12594974</v>
      </c>
      <c r="E6" s="20">
        <v>13827203</v>
      </c>
      <c r="F6" s="20">
        <v>15716942</v>
      </c>
      <c r="G6" s="20">
        <v>15909607</v>
      </c>
      <c r="H6" s="20">
        <v>16100618</v>
      </c>
      <c r="I6" s="20">
        <v>16289599</v>
      </c>
      <c r="J6" s="20">
        <v>16476149</v>
      </c>
      <c r="K6" s="20">
        <v>16659931</v>
      </c>
      <c r="L6" s="20">
        <v>16841135</v>
      </c>
      <c r="M6" s="20">
        <v>17020012</v>
      </c>
      <c r="N6" s="20">
        <v>17196396</v>
      </c>
      <c r="O6" s="20">
        <v>17370144</v>
      </c>
      <c r="P6" s="20">
        <v>17541141</v>
      </c>
      <c r="Q6" s="20">
        <v>17709598</v>
      </c>
      <c r="R6" s="20">
        <v>17409376</v>
      </c>
      <c r="S6" s="31">
        <v>17418577</v>
      </c>
      <c r="T6" s="31">
        <v>17431446</v>
      </c>
      <c r="U6" s="31">
        <v>17443372</v>
      </c>
      <c r="V6" s="31">
        <v>17453039</v>
      </c>
      <c r="W6" s="31">
        <v>17460685</v>
      </c>
      <c r="X6" s="31">
        <v>17466959</v>
      </c>
      <c r="Y6" s="31">
        <v>17472843</v>
      </c>
      <c r="Z6" s="31">
        <v>17479673</v>
      </c>
      <c r="AA6" s="31">
        <v>17488310</v>
      </c>
      <c r="AB6" s="31">
        <v>17498749</v>
      </c>
      <c r="AC6" s="31">
        <v>17510882</v>
      </c>
      <c r="AD6" s="31">
        <v>17524610</v>
      </c>
      <c r="AE6" s="31">
        <v>17540026</v>
      </c>
      <c r="AF6" s="31">
        <v>17557069</v>
      </c>
      <c r="AG6" s="31">
        <v>17575301</v>
      </c>
      <c r="AH6" s="31">
        <v>17594223</v>
      </c>
      <c r="AI6" s="31">
        <v>17613248</v>
      </c>
      <c r="AJ6" s="31">
        <v>17631770</v>
      </c>
    </row>
    <row r="7" spans="1:36" ht="15" customHeight="1" x14ac:dyDescent="0.25">
      <c r="A7" s="19" t="s">
        <v>22</v>
      </c>
      <c r="B7" s="20">
        <v>2972453</v>
      </c>
      <c r="C7" s="20">
        <v>2922829</v>
      </c>
      <c r="D7" s="20">
        <v>2965403</v>
      </c>
      <c r="E7" s="31">
        <v>2776138</v>
      </c>
      <c r="F7" s="31">
        <v>3028481</v>
      </c>
      <c r="G7" s="31">
        <v>3033639</v>
      </c>
      <c r="H7" s="31">
        <v>3038860</v>
      </c>
      <c r="I7" s="31">
        <v>3044076</v>
      </c>
      <c r="J7" s="31">
        <v>3049229</v>
      </c>
      <c r="K7" s="31">
        <v>3054267</v>
      </c>
      <c r="L7" s="31">
        <v>3059122</v>
      </c>
      <c r="M7" s="31">
        <v>3063728</v>
      </c>
      <c r="N7" s="31">
        <v>3068043</v>
      </c>
      <c r="O7" s="31">
        <v>3072029</v>
      </c>
      <c r="P7" s="31">
        <v>3075646</v>
      </c>
      <c r="Q7" s="31">
        <v>3078836</v>
      </c>
      <c r="R7" s="31">
        <v>3121189</v>
      </c>
      <c r="S7" s="31">
        <v>3107894</v>
      </c>
      <c r="T7" s="31">
        <v>3093735</v>
      </c>
      <c r="U7" s="31">
        <v>3079674</v>
      </c>
      <c r="V7" s="31">
        <v>3065991</v>
      </c>
      <c r="W7" s="31">
        <v>3052432</v>
      </c>
      <c r="X7" s="31">
        <v>3038998</v>
      </c>
      <c r="Y7" s="31">
        <v>3025765</v>
      </c>
      <c r="Z7" s="31">
        <v>3012826</v>
      </c>
      <c r="AA7" s="31">
        <v>3000505</v>
      </c>
      <c r="AB7" s="31">
        <v>2989091</v>
      </c>
      <c r="AC7" s="31">
        <v>2978880</v>
      </c>
      <c r="AD7" s="31">
        <v>2970026</v>
      </c>
      <c r="AE7" s="31">
        <v>2961850</v>
      </c>
      <c r="AF7" s="31">
        <v>2953747</v>
      </c>
      <c r="AG7" s="31">
        <v>2945706</v>
      </c>
      <c r="AH7" s="31">
        <v>2937720</v>
      </c>
      <c r="AI7" s="31">
        <v>2929830</v>
      </c>
      <c r="AJ7" s="31">
        <v>2921997</v>
      </c>
    </row>
    <row r="8" spans="1:36" ht="15" customHeight="1" x14ac:dyDescent="0.25">
      <c r="A8" s="19" t="s">
        <v>1</v>
      </c>
      <c r="B8" s="20">
        <v>172323</v>
      </c>
      <c r="C8" s="20">
        <v>207717</v>
      </c>
      <c r="D8" s="20">
        <v>264234</v>
      </c>
      <c r="E8" s="31">
        <v>334568</v>
      </c>
      <c r="F8" s="31">
        <v>377676</v>
      </c>
      <c r="G8" s="31">
        <v>381548</v>
      </c>
      <c r="H8" s="31">
        <v>385408</v>
      </c>
      <c r="I8" s="31">
        <v>389256</v>
      </c>
      <c r="J8" s="31">
        <v>393088</v>
      </c>
      <c r="K8" s="31">
        <v>396895</v>
      </c>
      <c r="L8" s="31">
        <v>400678</v>
      </c>
      <c r="M8" s="31">
        <v>404433</v>
      </c>
      <c r="N8" s="31">
        <v>408152</v>
      </c>
      <c r="O8" s="31">
        <v>411824</v>
      </c>
      <c r="P8" s="31">
        <v>415438</v>
      </c>
      <c r="Q8" s="31">
        <v>418991</v>
      </c>
      <c r="R8" s="31">
        <v>434741</v>
      </c>
      <c r="S8" s="31">
        <v>436077</v>
      </c>
      <c r="T8" s="31">
        <v>437508</v>
      </c>
      <c r="U8" s="31">
        <v>439024</v>
      </c>
      <c r="V8" s="31">
        <v>440503</v>
      </c>
      <c r="W8" s="31">
        <v>441923</v>
      </c>
      <c r="X8" s="31">
        <v>443302</v>
      </c>
      <c r="Y8" s="31">
        <v>444639</v>
      </c>
      <c r="Z8" s="31">
        <v>445966</v>
      </c>
      <c r="AA8" s="31">
        <v>447263</v>
      </c>
      <c r="AB8" s="31">
        <v>448557</v>
      </c>
      <c r="AC8" s="31">
        <v>449850</v>
      </c>
      <c r="AD8" s="31">
        <v>451092</v>
      </c>
      <c r="AE8" s="31">
        <v>452321</v>
      </c>
      <c r="AF8" s="31">
        <v>453513</v>
      </c>
      <c r="AG8" s="31">
        <v>454671</v>
      </c>
      <c r="AH8" s="31">
        <v>455774</v>
      </c>
      <c r="AI8" s="31">
        <v>456806</v>
      </c>
      <c r="AJ8" s="31">
        <v>457763</v>
      </c>
    </row>
    <row r="9" spans="1:36" ht="15" customHeight="1" x14ac:dyDescent="0.25">
      <c r="A9" s="19" t="s">
        <v>2</v>
      </c>
      <c r="B9" s="20">
        <v>566613</v>
      </c>
      <c r="C9" s="20">
        <v>701392</v>
      </c>
      <c r="D9" s="20">
        <v>839677</v>
      </c>
      <c r="E9" s="31">
        <v>984446</v>
      </c>
      <c r="F9" s="31">
        <v>1080017</v>
      </c>
      <c r="G9" s="31">
        <v>1092625</v>
      </c>
      <c r="H9" s="31">
        <v>1105280</v>
      </c>
      <c r="I9" s="31">
        <v>1117953</v>
      </c>
      <c r="J9" s="31">
        <v>1130608</v>
      </c>
      <c r="K9" s="31">
        <v>1143201</v>
      </c>
      <c r="L9" s="31">
        <v>1155723</v>
      </c>
      <c r="M9" s="31">
        <v>1168165</v>
      </c>
      <c r="N9" s="31">
        <v>1180477</v>
      </c>
      <c r="O9" s="31">
        <v>1192616</v>
      </c>
      <c r="P9" s="31">
        <v>1204541</v>
      </c>
      <c r="Q9" s="31">
        <v>1216247</v>
      </c>
      <c r="R9" s="31">
        <v>1190747</v>
      </c>
      <c r="S9" s="31">
        <v>1194631</v>
      </c>
      <c r="T9" s="31">
        <v>1200849</v>
      </c>
      <c r="U9" s="31">
        <v>1207608</v>
      </c>
      <c r="V9" s="31">
        <v>1214280</v>
      </c>
      <c r="W9" s="31">
        <v>1220810</v>
      </c>
      <c r="X9" s="31">
        <v>1227236</v>
      </c>
      <c r="Y9" s="31">
        <v>1233474</v>
      </c>
      <c r="Z9" s="31">
        <v>1239460</v>
      </c>
      <c r="AA9" s="31">
        <v>1245335</v>
      </c>
      <c r="AB9" s="31">
        <v>1251078</v>
      </c>
      <c r="AC9" s="31">
        <v>1256661</v>
      </c>
      <c r="AD9" s="31">
        <v>1262126</v>
      </c>
      <c r="AE9" s="31">
        <v>1267470</v>
      </c>
      <c r="AF9" s="31">
        <v>1272712</v>
      </c>
      <c r="AG9" s="31">
        <v>1277838</v>
      </c>
      <c r="AH9" s="31">
        <v>1282816</v>
      </c>
      <c r="AI9" s="31">
        <v>1287635</v>
      </c>
      <c r="AJ9" s="31">
        <v>1292272</v>
      </c>
    </row>
    <row r="10" spans="1:36" ht="15" customHeight="1" x14ac:dyDescent="0.25">
      <c r="A10" s="19" t="s">
        <v>3</v>
      </c>
      <c r="B10" s="20">
        <v>189920</v>
      </c>
      <c r="C10" s="20">
        <v>263116</v>
      </c>
      <c r="D10" s="20">
        <v>357189</v>
      </c>
      <c r="E10" s="31">
        <v>413237</v>
      </c>
      <c r="F10" s="31">
        <v>513433</v>
      </c>
      <c r="G10" s="31">
        <v>524201</v>
      </c>
      <c r="H10" s="31">
        <v>534945</v>
      </c>
      <c r="I10" s="31">
        <v>545656</v>
      </c>
      <c r="J10" s="31">
        <v>556319</v>
      </c>
      <c r="K10" s="31">
        <v>566922</v>
      </c>
      <c r="L10" s="31">
        <v>577466</v>
      </c>
      <c r="M10" s="31">
        <v>587956</v>
      </c>
      <c r="N10" s="31">
        <v>598380</v>
      </c>
      <c r="O10" s="31">
        <v>608729</v>
      </c>
      <c r="P10" s="31">
        <v>618994</v>
      </c>
      <c r="Q10" s="31">
        <v>629181</v>
      </c>
      <c r="R10" s="31">
        <v>597366</v>
      </c>
      <c r="S10" s="31">
        <v>598946</v>
      </c>
      <c r="T10" s="31">
        <v>600674</v>
      </c>
      <c r="U10" s="31">
        <v>602348</v>
      </c>
      <c r="V10" s="31">
        <v>603930</v>
      </c>
      <c r="W10" s="31">
        <v>605453</v>
      </c>
      <c r="X10" s="31">
        <v>606918</v>
      </c>
      <c r="Y10" s="31">
        <v>608334</v>
      </c>
      <c r="Z10" s="31">
        <v>609723</v>
      </c>
      <c r="AA10" s="31">
        <v>611108</v>
      </c>
      <c r="AB10" s="31">
        <v>612492</v>
      </c>
      <c r="AC10" s="31">
        <v>613878</v>
      </c>
      <c r="AD10" s="31">
        <v>615250</v>
      </c>
      <c r="AE10" s="31">
        <v>616643</v>
      </c>
      <c r="AF10" s="31">
        <v>618023</v>
      </c>
      <c r="AG10" s="31">
        <v>619407</v>
      </c>
      <c r="AH10" s="31">
        <v>620771</v>
      </c>
      <c r="AI10" s="31">
        <v>622103</v>
      </c>
      <c r="AJ10" s="31">
        <v>623370</v>
      </c>
    </row>
    <row r="11" spans="1:36" ht="15" customHeight="1" x14ac:dyDescent="0.25">
      <c r="A11" s="19" t="s">
        <v>23</v>
      </c>
      <c r="B11" s="20">
        <v>2060065</v>
      </c>
      <c r="C11" s="20">
        <v>2407754</v>
      </c>
      <c r="D11" s="20">
        <v>2766683</v>
      </c>
      <c r="E11" s="31">
        <v>3066801</v>
      </c>
      <c r="F11" s="31">
        <v>3373025</v>
      </c>
      <c r="G11" s="31">
        <v>3411773</v>
      </c>
      <c r="H11" s="31">
        <v>3450673</v>
      </c>
      <c r="I11" s="31">
        <v>3489669</v>
      </c>
      <c r="J11" s="31">
        <v>3528687</v>
      </c>
      <c r="K11" s="31">
        <v>3567654</v>
      </c>
      <c r="L11" s="31">
        <v>3606540</v>
      </c>
      <c r="M11" s="31">
        <v>3645321</v>
      </c>
      <c r="N11" s="31">
        <v>3683937</v>
      </c>
      <c r="O11" s="31">
        <v>3722332</v>
      </c>
      <c r="P11" s="31">
        <v>3760450</v>
      </c>
      <c r="Q11" s="31">
        <v>3798261</v>
      </c>
      <c r="R11" s="31">
        <v>3923244</v>
      </c>
      <c r="S11" s="31">
        <v>3934514</v>
      </c>
      <c r="T11" s="31">
        <v>3946289</v>
      </c>
      <c r="U11" s="31">
        <v>3957565</v>
      </c>
      <c r="V11" s="31">
        <v>3968336</v>
      </c>
      <c r="W11" s="31">
        <v>3978566</v>
      </c>
      <c r="X11" s="31">
        <v>3988364</v>
      </c>
      <c r="Y11" s="31">
        <v>3997839</v>
      </c>
      <c r="Z11" s="31">
        <v>4007292</v>
      </c>
      <c r="AA11" s="31">
        <v>4016866</v>
      </c>
      <c r="AB11" s="31">
        <v>4026568</v>
      </c>
      <c r="AC11" s="31">
        <v>4036352</v>
      </c>
      <c r="AD11" s="31">
        <v>4046192</v>
      </c>
      <c r="AE11" s="31">
        <v>4056111</v>
      </c>
      <c r="AF11" s="31">
        <v>4066134</v>
      </c>
      <c r="AG11" s="31">
        <v>4076173</v>
      </c>
      <c r="AH11" s="31">
        <v>4086175</v>
      </c>
      <c r="AI11" s="31">
        <v>4096034</v>
      </c>
      <c r="AJ11" s="31">
        <v>4105637</v>
      </c>
    </row>
    <row r="12" spans="1:36" ht="15" customHeight="1" x14ac:dyDescent="0.25">
      <c r="A12" s="19" t="s">
        <v>4</v>
      </c>
      <c r="B12" s="20">
        <v>564147</v>
      </c>
      <c r="C12" s="20">
        <v>661454</v>
      </c>
      <c r="D12" s="20">
        <v>795594</v>
      </c>
      <c r="E12" s="31">
        <v>930991</v>
      </c>
      <c r="F12" s="31">
        <v>1017731</v>
      </c>
      <c r="G12" s="31">
        <v>1028248</v>
      </c>
      <c r="H12" s="31">
        <v>1038786</v>
      </c>
      <c r="I12" s="31">
        <v>1049325</v>
      </c>
      <c r="J12" s="31">
        <v>1059836</v>
      </c>
      <c r="K12" s="31">
        <v>1070283</v>
      </c>
      <c r="L12" s="31">
        <v>1080655</v>
      </c>
      <c r="M12" s="31">
        <v>1090938</v>
      </c>
      <c r="N12" s="31">
        <v>1101084</v>
      </c>
      <c r="O12" s="31">
        <v>1111052</v>
      </c>
      <c r="P12" s="31">
        <v>1120801</v>
      </c>
      <c r="Q12" s="31">
        <v>1130320</v>
      </c>
      <c r="R12" s="31">
        <v>1189015</v>
      </c>
      <c r="S12" s="31">
        <v>1193970</v>
      </c>
      <c r="T12" s="31">
        <v>1199120</v>
      </c>
      <c r="U12" s="31">
        <v>1203905</v>
      </c>
      <c r="V12" s="31">
        <v>1208334</v>
      </c>
      <c r="W12" s="31">
        <v>1212387</v>
      </c>
      <c r="X12" s="31">
        <v>1216312</v>
      </c>
      <c r="Y12" s="31">
        <v>1220239</v>
      </c>
      <c r="Z12" s="31">
        <v>1224094</v>
      </c>
      <c r="AA12" s="31">
        <v>1227937</v>
      </c>
      <c r="AB12" s="31">
        <v>1231780</v>
      </c>
      <c r="AC12" s="31">
        <v>1235592</v>
      </c>
      <c r="AD12" s="31">
        <v>1239335</v>
      </c>
      <c r="AE12" s="31">
        <v>1243054</v>
      </c>
      <c r="AF12" s="31">
        <v>1246716</v>
      </c>
      <c r="AG12" s="31">
        <v>1250294</v>
      </c>
      <c r="AH12" s="31">
        <v>1253758</v>
      </c>
      <c r="AI12" s="31">
        <v>1257074</v>
      </c>
      <c r="AJ12" s="31">
        <v>1260197</v>
      </c>
    </row>
    <row r="13" spans="1:36" ht="15" customHeight="1" x14ac:dyDescent="0.25">
      <c r="A13" s="19" t="s">
        <v>5</v>
      </c>
      <c r="B13" s="20">
        <v>811691</v>
      </c>
      <c r="C13" s="20">
        <v>908313</v>
      </c>
      <c r="D13" s="20">
        <v>1020257</v>
      </c>
      <c r="E13" s="31">
        <v>1158147</v>
      </c>
      <c r="F13" s="31">
        <v>1255574</v>
      </c>
      <c r="G13" s="31">
        <v>1268744</v>
      </c>
      <c r="H13" s="31">
        <v>1281931</v>
      </c>
      <c r="I13" s="31">
        <v>1295121</v>
      </c>
      <c r="J13" s="31">
        <v>1308290</v>
      </c>
      <c r="K13" s="31">
        <v>1321415</v>
      </c>
      <c r="L13" s="31">
        <v>1334489</v>
      </c>
      <c r="M13" s="31">
        <v>1347508</v>
      </c>
      <c r="N13" s="31">
        <v>1360443</v>
      </c>
      <c r="O13" s="31">
        <v>1373270</v>
      </c>
      <c r="P13" s="31">
        <v>1385961</v>
      </c>
      <c r="Q13" s="31">
        <v>1398510</v>
      </c>
      <c r="R13" s="31">
        <v>1449787</v>
      </c>
      <c r="S13" s="31">
        <v>1452721</v>
      </c>
      <c r="T13" s="31">
        <v>1456015</v>
      </c>
      <c r="U13" s="31">
        <v>1459182</v>
      </c>
      <c r="V13" s="31">
        <v>1462153</v>
      </c>
      <c r="W13" s="31">
        <v>1464903</v>
      </c>
      <c r="X13" s="31">
        <v>1467496</v>
      </c>
      <c r="Y13" s="31">
        <v>1469959</v>
      </c>
      <c r="Z13" s="31">
        <v>1472359</v>
      </c>
      <c r="AA13" s="31">
        <v>1474819</v>
      </c>
      <c r="AB13" s="31">
        <v>1477276</v>
      </c>
      <c r="AC13" s="31">
        <v>1479768</v>
      </c>
      <c r="AD13" s="31">
        <v>1482249</v>
      </c>
      <c r="AE13" s="31">
        <v>1484741</v>
      </c>
      <c r="AF13" s="31">
        <v>1487238</v>
      </c>
      <c r="AG13" s="31">
        <v>1489714</v>
      </c>
      <c r="AH13" s="31">
        <v>1492107</v>
      </c>
      <c r="AI13" s="31">
        <v>1494406</v>
      </c>
      <c r="AJ13" s="31">
        <v>1496562</v>
      </c>
    </row>
    <row r="14" spans="1:36" ht="15" customHeight="1" x14ac:dyDescent="0.25">
      <c r="A14" s="19" t="s">
        <v>6</v>
      </c>
      <c r="B14" s="20">
        <v>234075</v>
      </c>
      <c r="C14" s="20">
        <v>295887</v>
      </c>
      <c r="D14" s="20">
        <v>398413</v>
      </c>
      <c r="E14" s="31">
        <v>486559</v>
      </c>
      <c r="F14" s="31">
        <v>551626</v>
      </c>
      <c r="G14" s="31">
        <v>557223</v>
      </c>
      <c r="H14" s="31">
        <v>562794</v>
      </c>
      <c r="I14" s="31">
        <v>568331</v>
      </c>
      <c r="J14" s="31">
        <v>573823</v>
      </c>
      <c r="K14" s="31">
        <v>579250</v>
      </c>
      <c r="L14" s="31">
        <v>584614</v>
      </c>
      <c r="M14" s="31">
        <v>589916</v>
      </c>
      <c r="N14" s="31">
        <v>595129</v>
      </c>
      <c r="O14" s="31">
        <v>600229</v>
      </c>
      <c r="P14" s="31">
        <v>605193</v>
      </c>
      <c r="Q14" s="31">
        <v>610019</v>
      </c>
      <c r="R14" s="31">
        <v>620502</v>
      </c>
      <c r="S14" s="31">
        <v>622428</v>
      </c>
      <c r="T14" s="31">
        <v>624461</v>
      </c>
      <c r="U14" s="31">
        <v>626649</v>
      </c>
      <c r="V14" s="31">
        <v>628876</v>
      </c>
      <c r="W14" s="31">
        <v>631105</v>
      </c>
      <c r="X14" s="31">
        <v>633312</v>
      </c>
      <c r="Y14" s="31">
        <v>635477</v>
      </c>
      <c r="Z14" s="31">
        <v>637566</v>
      </c>
      <c r="AA14" s="31">
        <v>639601</v>
      </c>
      <c r="AB14" s="31">
        <v>641588</v>
      </c>
      <c r="AC14" s="31">
        <v>643500</v>
      </c>
      <c r="AD14" s="31">
        <v>645342</v>
      </c>
      <c r="AE14" s="31">
        <v>647099</v>
      </c>
      <c r="AF14" s="31">
        <v>648810</v>
      </c>
      <c r="AG14" s="31">
        <v>650415</v>
      </c>
      <c r="AH14" s="31">
        <v>651925</v>
      </c>
      <c r="AI14" s="31">
        <v>653315</v>
      </c>
      <c r="AJ14" s="31">
        <v>654581</v>
      </c>
    </row>
    <row r="15" spans="1:36" ht="15" customHeight="1" x14ac:dyDescent="0.25">
      <c r="A15" s="19" t="s">
        <v>7</v>
      </c>
      <c r="B15" s="20">
        <v>302436</v>
      </c>
      <c r="C15" s="20">
        <v>410008</v>
      </c>
      <c r="D15" s="20">
        <v>512329</v>
      </c>
      <c r="E15" s="31">
        <v>611888</v>
      </c>
      <c r="F15" s="31">
        <v>683513</v>
      </c>
      <c r="G15" s="31">
        <v>692379</v>
      </c>
      <c r="H15" s="31">
        <v>701252</v>
      </c>
      <c r="I15" s="31">
        <v>710121</v>
      </c>
      <c r="J15" s="31">
        <v>718971</v>
      </c>
      <c r="K15" s="31">
        <v>727780</v>
      </c>
      <c r="L15" s="31">
        <v>736542</v>
      </c>
      <c r="M15" s="31">
        <v>745252</v>
      </c>
      <c r="N15" s="31">
        <v>753891</v>
      </c>
      <c r="O15" s="31">
        <v>762440</v>
      </c>
      <c r="P15" s="31">
        <v>770881</v>
      </c>
      <c r="Q15" s="31">
        <v>779212</v>
      </c>
      <c r="R15" s="31">
        <v>795372</v>
      </c>
      <c r="S15" s="31">
        <v>796866</v>
      </c>
      <c r="T15" s="31">
        <v>798673</v>
      </c>
      <c r="U15" s="31">
        <v>800744</v>
      </c>
      <c r="V15" s="31">
        <v>802922</v>
      </c>
      <c r="W15" s="31">
        <v>805114</v>
      </c>
      <c r="X15" s="31">
        <v>807293</v>
      </c>
      <c r="Y15" s="31">
        <v>809457</v>
      </c>
      <c r="Z15" s="31">
        <v>811608</v>
      </c>
      <c r="AA15" s="31">
        <v>813792</v>
      </c>
      <c r="AB15" s="31">
        <v>816009</v>
      </c>
      <c r="AC15" s="31">
        <v>818226</v>
      </c>
      <c r="AD15" s="31">
        <v>820427</v>
      </c>
      <c r="AE15" s="31">
        <v>822619</v>
      </c>
      <c r="AF15" s="31">
        <v>824798</v>
      </c>
      <c r="AG15" s="31">
        <v>826921</v>
      </c>
      <c r="AH15" s="31">
        <v>828966</v>
      </c>
      <c r="AI15" s="31">
        <v>830923</v>
      </c>
      <c r="AJ15" s="31">
        <v>832736</v>
      </c>
    </row>
    <row r="16" spans="1:36" ht="15" customHeight="1" x14ac:dyDescent="0.25">
      <c r="A16" s="19" t="s">
        <v>8</v>
      </c>
      <c r="B16" s="20">
        <v>172029</v>
      </c>
      <c r="C16" s="20">
        <v>208260</v>
      </c>
      <c r="D16" s="20">
        <v>259996</v>
      </c>
      <c r="E16" s="31">
        <v>299294</v>
      </c>
      <c r="F16" s="31">
        <v>327028</v>
      </c>
      <c r="G16" s="31">
        <v>330268</v>
      </c>
      <c r="H16" s="31">
        <v>333496</v>
      </c>
      <c r="I16" s="31">
        <v>336706</v>
      </c>
      <c r="J16" s="31">
        <v>339895</v>
      </c>
      <c r="K16" s="31">
        <v>343056</v>
      </c>
      <c r="L16" s="31">
        <v>346191</v>
      </c>
      <c r="M16" s="31">
        <v>349299</v>
      </c>
      <c r="N16" s="31">
        <v>352378</v>
      </c>
      <c r="O16" s="31">
        <v>355422</v>
      </c>
      <c r="P16" s="31">
        <v>358428</v>
      </c>
      <c r="Q16" s="31">
        <v>361394</v>
      </c>
      <c r="R16" s="31">
        <v>373976</v>
      </c>
      <c r="S16" s="31">
        <v>374945</v>
      </c>
      <c r="T16" s="31">
        <v>375873</v>
      </c>
      <c r="U16" s="31">
        <v>376794</v>
      </c>
      <c r="V16" s="31">
        <v>377663</v>
      </c>
      <c r="W16" s="31">
        <v>378481</v>
      </c>
      <c r="X16" s="31">
        <v>379260</v>
      </c>
      <c r="Y16" s="31">
        <v>379981</v>
      </c>
      <c r="Z16" s="31">
        <v>380681</v>
      </c>
      <c r="AA16" s="31">
        <v>381357</v>
      </c>
      <c r="AB16" s="31">
        <v>382022</v>
      </c>
      <c r="AC16" s="31">
        <v>382659</v>
      </c>
      <c r="AD16" s="31">
        <v>383272</v>
      </c>
      <c r="AE16" s="31">
        <v>383871</v>
      </c>
      <c r="AF16" s="31">
        <v>384434</v>
      </c>
      <c r="AG16" s="31">
        <v>384974</v>
      </c>
      <c r="AH16" s="31">
        <v>385475</v>
      </c>
      <c r="AI16" s="31">
        <v>385927</v>
      </c>
      <c r="AJ16" s="31">
        <v>386324</v>
      </c>
    </row>
    <row r="17" spans="1:36" ht="15" customHeight="1" x14ac:dyDescent="0.25">
      <c r="A17" s="19" t="s">
        <v>9</v>
      </c>
      <c r="B17" s="20">
        <v>136237</v>
      </c>
      <c r="C17" s="20">
        <v>164217</v>
      </c>
      <c r="D17" s="20">
        <v>220729</v>
      </c>
      <c r="E17" s="31">
        <v>289983</v>
      </c>
      <c r="F17" s="31">
        <v>342582</v>
      </c>
      <c r="G17" s="31">
        <v>347494</v>
      </c>
      <c r="H17" s="31">
        <v>352476</v>
      </c>
      <c r="I17" s="31">
        <v>357516</v>
      </c>
      <c r="J17" s="31">
        <v>362605</v>
      </c>
      <c r="K17" s="31">
        <v>367728</v>
      </c>
      <c r="L17" s="31">
        <v>372879</v>
      </c>
      <c r="M17" s="31">
        <v>378047</v>
      </c>
      <c r="N17" s="31">
        <v>383220</v>
      </c>
      <c r="O17" s="31">
        <v>388386</v>
      </c>
      <c r="P17" s="31">
        <v>393531</v>
      </c>
      <c r="Q17" s="31">
        <v>398648</v>
      </c>
      <c r="R17" s="31">
        <v>398518</v>
      </c>
      <c r="S17" s="31">
        <v>400097</v>
      </c>
      <c r="T17" s="31">
        <v>401843</v>
      </c>
      <c r="U17" s="31">
        <v>403577</v>
      </c>
      <c r="V17" s="31">
        <v>405241</v>
      </c>
      <c r="W17" s="31">
        <v>406823</v>
      </c>
      <c r="X17" s="31">
        <v>408351</v>
      </c>
      <c r="Y17" s="31">
        <v>409825</v>
      </c>
      <c r="Z17" s="31">
        <v>411256</v>
      </c>
      <c r="AA17" s="31">
        <v>412664</v>
      </c>
      <c r="AB17" s="31">
        <v>414059</v>
      </c>
      <c r="AC17" s="31">
        <v>415427</v>
      </c>
      <c r="AD17" s="31">
        <v>416752</v>
      </c>
      <c r="AE17" s="31">
        <v>418036</v>
      </c>
      <c r="AF17" s="31">
        <v>419305</v>
      </c>
      <c r="AG17" s="31">
        <v>420517</v>
      </c>
      <c r="AH17" s="31">
        <v>421687</v>
      </c>
      <c r="AI17" s="31">
        <v>422790</v>
      </c>
      <c r="AJ17" s="31">
        <v>423835</v>
      </c>
    </row>
    <row r="18" spans="1:36" ht="15" customHeight="1" x14ac:dyDescent="0.25">
      <c r="A18" s="19" t="s">
        <v>10</v>
      </c>
      <c r="B18" s="20">
        <v>973075</v>
      </c>
      <c r="C18" s="20">
        <v>1196228</v>
      </c>
      <c r="D18" s="20">
        <v>1412481</v>
      </c>
      <c r="E18" s="31">
        <v>1579651</v>
      </c>
      <c r="F18" s="31">
        <v>1774737</v>
      </c>
      <c r="G18" s="31">
        <v>1797235</v>
      </c>
      <c r="H18" s="31">
        <v>1819608</v>
      </c>
      <c r="I18" s="31">
        <v>1841813</v>
      </c>
      <c r="J18" s="31">
        <v>1863809</v>
      </c>
      <c r="K18" s="31">
        <v>1885551</v>
      </c>
      <c r="L18" s="31">
        <v>1907045</v>
      </c>
      <c r="M18" s="31">
        <v>1928304</v>
      </c>
      <c r="N18" s="31">
        <v>1949293</v>
      </c>
      <c r="O18" s="31">
        <v>1969982</v>
      </c>
      <c r="P18" s="31">
        <v>1990338</v>
      </c>
      <c r="Q18" s="31">
        <v>2010363</v>
      </c>
      <c r="R18" s="31">
        <v>2032783</v>
      </c>
      <c r="S18" s="31">
        <v>2037228</v>
      </c>
      <c r="T18" s="31">
        <v>2042241</v>
      </c>
      <c r="U18" s="31">
        <v>2047181</v>
      </c>
      <c r="V18" s="31">
        <v>2051912</v>
      </c>
      <c r="W18" s="31">
        <v>2056323</v>
      </c>
      <c r="X18" s="31">
        <v>2060449</v>
      </c>
      <c r="Y18" s="31">
        <v>2064401</v>
      </c>
      <c r="Z18" s="31">
        <v>2068328</v>
      </c>
      <c r="AA18" s="31">
        <v>2072340</v>
      </c>
      <c r="AB18" s="31">
        <v>2076433</v>
      </c>
      <c r="AC18" s="31">
        <v>2080625</v>
      </c>
      <c r="AD18" s="31">
        <v>2084894</v>
      </c>
      <c r="AE18" s="31">
        <v>2089254</v>
      </c>
      <c r="AF18" s="31">
        <v>2093738</v>
      </c>
      <c r="AG18" s="31">
        <v>2098296</v>
      </c>
      <c r="AH18" s="31">
        <v>2102874</v>
      </c>
      <c r="AI18" s="31">
        <v>2107439</v>
      </c>
      <c r="AJ18" s="31">
        <v>2111931</v>
      </c>
    </row>
    <row r="19" spans="1:36" ht="15" customHeight="1" x14ac:dyDescent="0.25">
      <c r="A19" s="19" t="s">
        <v>11</v>
      </c>
      <c r="B19" s="20">
        <v>443020</v>
      </c>
      <c r="C19" s="20">
        <v>588977</v>
      </c>
      <c r="D19" s="20">
        <v>788915</v>
      </c>
      <c r="E19" s="31">
        <v>965522</v>
      </c>
      <c r="F19" s="31">
        <v>1113279</v>
      </c>
      <c r="G19" s="31">
        <v>1128798</v>
      </c>
      <c r="H19" s="31">
        <v>1144189</v>
      </c>
      <c r="I19" s="31">
        <v>1159445</v>
      </c>
      <c r="J19" s="31">
        <v>1174542</v>
      </c>
      <c r="K19" s="31">
        <v>1189446</v>
      </c>
      <c r="L19" s="31">
        <v>1204182</v>
      </c>
      <c r="M19" s="31">
        <v>1218771</v>
      </c>
      <c r="N19" s="31">
        <v>1233177</v>
      </c>
      <c r="O19" s="31">
        <v>1247362</v>
      </c>
      <c r="P19" s="31">
        <v>1261294</v>
      </c>
      <c r="Q19" s="31">
        <v>1274992</v>
      </c>
      <c r="R19" s="31">
        <v>1313583</v>
      </c>
      <c r="S19" s="31">
        <v>1322993</v>
      </c>
      <c r="T19" s="31">
        <v>1333633</v>
      </c>
      <c r="U19" s="31">
        <v>1344368</v>
      </c>
      <c r="V19" s="31">
        <v>1355029</v>
      </c>
      <c r="W19" s="31">
        <v>1365537</v>
      </c>
      <c r="X19" s="31">
        <v>1375915</v>
      </c>
      <c r="Y19" s="31">
        <v>1386047</v>
      </c>
      <c r="Z19" s="31">
        <v>1395890</v>
      </c>
      <c r="AA19" s="31">
        <v>1405546</v>
      </c>
      <c r="AB19" s="31">
        <v>1415010</v>
      </c>
      <c r="AC19" s="31">
        <v>1424287</v>
      </c>
      <c r="AD19" s="31">
        <v>1433364</v>
      </c>
      <c r="AE19" s="31">
        <v>1442243</v>
      </c>
      <c r="AF19" s="31">
        <v>1450940</v>
      </c>
      <c r="AG19" s="31">
        <v>1459438</v>
      </c>
      <c r="AH19" s="31">
        <v>1467708</v>
      </c>
      <c r="AI19" s="31">
        <v>1475705</v>
      </c>
      <c r="AJ19" s="31">
        <v>1483409</v>
      </c>
    </row>
    <row r="20" spans="1:36" ht="15" customHeight="1" x14ac:dyDescent="0.25">
      <c r="A20" s="19" t="s">
        <v>12</v>
      </c>
      <c r="B20" s="20">
        <v>154570</v>
      </c>
      <c r="C20" s="20">
        <v>243850</v>
      </c>
      <c r="D20" s="20">
        <v>388833</v>
      </c>
      <c r="E20" s="31">
        <v>474155</v>
      </c>
      <c r="F20" s="31">
        <v>571910</v>
      </c>
      <c r="G20" s="31">
        <v>581720</v>
      </c>
      <c r="H20" s="31">
        <v>591422</v>
      </c>
      <c r="I20" s="31">
        <v>601003</v>
      </c>
      <c r="J20" s="31">
        <v>610449</v>
      </c>
      <c r="K20" s="31">
        <v>619745</v>
      </c>
      <c r="L20" s="31">
        <v>628897</v>
      </c>
      <c r="M20" s="31">
        <v>637913</v>
      </c>
      <c r="N20" s="31">
        <v>646784</v>
      </c>
      <c r="O20" s="31">
        <v>655501</v>
      </c>
      <c r="P20" s="31">
        <v>664057</v>
      </c>
      <c r="Q20" s="31">
        <v>672461</v>
      </c>
      <c r="R20" s="31">
        <v>689222</v>
      </c>
      <c r="S20" s="31">
        <v>693935</v>
      </c>
      <c r="T20" s="31">
        <v>698410</v>
      </c>
      <c r="U20" s="31">
        <v>702816</v>
      </c>
      <c r="V20" s="31">
        <v>707092</v>
      </c>
      <c r="W20" s="31">
        <v>711217</v>
      </c>
      <c r="X20" s="31">
        <v>715222</v>
      </c>
      <c r="Y20" s="31">
        <v>719121</v>
      </c>
      <c r="Z20" s="31">
        <v>722955</v>
      </c>
      <c r="AA20" s="31">
        <v>726756</v>
      </c>
      <c r="AB20" s="31">
        <v>730506</v>
      </c>
      <c r="AC20" s="31">
        <v>734228</v>
      </c>
      <c r="AD20" s="31">
        <v>737899</v>
      </c>
      <c r="AE20" s="31">
        <v>741552</v>
      </c>
      <c r="AF20" s="31">
        <v>745176</v>
      </c>
      <c r="AG20" s="31">
        <v>748765</v>
      </c>
      <c r="AH20" s="31">
        <v>752315</v>
      </c>
      <c r="AI20" s="31">
        <v>755800</v>
      </c>
      <c r="AJ20" s="31">
        <v>759196</v>
      </c>
    </row>
    <row r="21" spans="1:36" ht="15" customHeight="1" x14ac:dyDescent="0.25">
      <c r="A21" s="19" t="s">
        <v>13</v>
      </c>
      <c r="B21" s="20">
        <v>262622</v>
      </c>
      <c r="C21" s="20">
        <v>383354</v>
      </c>
      <c r="D21" s="20">
        <v>506772</v>
      </c>
      <c r="E21" s="32">
        <v>552822</v>
      </c>
      <c r="F21" s="32">
        <v>648277</v>
      </c>
      <c r="G21" s="31">
        <v>658486</v>
      </c>
      <c r="H21" s="32">
        <v>668663</v>
      </c>
      <c r="I21" s="31">
        <v>678797</v>
      </c>
      <c r="J21" s="31">
        <v>688873</v>
      </c>
      <c r="K21" s="31">
        <v>698874</v>
      </c>
      <c r="L21" s="31">
        <v>708799</v>
      </c>
      <c r="M21" s="31">
        <v>718646</v>
      </c>
      <c r="N21" s="31">
        <v>728403</v>
      </c>
      <c r="O21" s="31">
        <v>738060</v>
      </c>
      <c r="P21" s="31">
        <v>747610</v>
      </c>
      <c r="Q21" s="31">
        <v>757052</v>
      </c>
      <c r="R21" s="31">
        <v>776389</v>
      </c>
      <c r="S21" s="31">
        <v>780516</v>
      </c>
      <c r="T21" s="31">
        <v>784591</v>
      </c>
      <c r="U21" s="31">
        <v>788658</v>
      </c>
      <c r="V21" s="31">
        <v>792587</v>
      </c>
      <c r="W21" s="31">
        <v>796378</v>
      </c>
      <c r="X21" s="31">
        <v>800042</v>
      </c>
      <c r="Y21" s="31">
        <v>803596</v>
      </c>
      <c r="Z21" s="31">
        <v>807072</v>
      </c>
      <c r="AA21" s="31">
        <v>810509</v>
      </c>
      <c r="AB21" s="31">
        <v>813906</v>
      </c>
      <c r="AC21" s="31">
        <v>817260</v>
      </c>
      <c r="AD21" s="31">
        <v>820579</v>
      </c>
      <c r="AE21" s="31">
        <v>823856</v>
      </c>
      <c r="AF21" s="31">
        <v>827081</v>
      </c>
      <c r="AG21" s="31">
        <v>830266</v>
      </c>
      <c r="AH21" s="31">
        <v>833381</v>
      </c>
      <c r="AI21" s="31">
        <v>836397</v>
      </c>
      <c r="AJ21" s="31">
        <v>839304</v>
      </c>
    </row>
    <row r="22" spans="1:36" ht="15" customHeight="1" x14ac:dyDescent="0.25">
      <c r="A22" s="19" t="s">
        <v>14</v>
      </c>
      <c r="B22" s="20">
        <v>509803</v>
      </c>
      <c r="C22" s="20">
        <v>662870</v>
      </c>
      <c r="D22" s="20">
        <v>866153</v>
      </c>
      <c r="E22" s="31">
        <v>1079051</v>
      </c>
      <c r="F22" s="31">
        <v>1239111</v>
      </c>
      <c r="G22" s="31">
        <v>1258111</v>
      </c>
      <c r="H22" s="31">
        <v>1277062</v>
      </c>
      <c r="I22" s="31">
        <v>1295944</v>
      </c>
      <c r="J22" s="31">
        <v>1314726</v>
      </c>
      <c r="K22" s="31">
        <v>1333365</v>
      </c>
      <c r="L22" s="31">
        <v>1351878</v>
      </c>
      <c r="M22" s="31">
        <v>1370283</v>
      </c>
      <c r="N22" s="31">
        <v>1388532</v>
      </c>
      <c r="O22" s="31">
        <v>1406584</v>
      </c>
      <c r="P22" s="31">
        <v>1424397</v>
      </c>
      <c r="Q22" s="31">
        <v>1441988</v>
      </c>
      <c r="R22" s="31">
        <v>1467237</v>
      </c>
      <c r="S22" s="31">
        <v>1473871</v>
      </c>
      <c r="T22" s="31">
        <v>1480327</v>
      </c>
      <c r="U22" s="31">
        <v>1486517</v>
      </c>
      <c r="V22" s="31">
        <v>1492267</v>
      </c>
      <c r="W22" s="31">
        <v>1497629</v>
      </c>
      <c r="X22" s="31">
        <v>1502892</v>
      </c>
      <c r="Y22" s="31">
        <v>1508205</v>
      </c>
      <c r="Z22" s="31">
        <v>1513502</v>
      </c>
      <c r="AA22" s="31">
        <v>1518888</v>
      </c>
      <c r="AB22" s="31">
        <v>1524299</v>
      </c>
      <c r="AC22" s="31">
        <v>1529715</v>
      </c>
      <c r="AD22" s="31">
        <v>1535143</v>
      </c>
      <c r="AE22" s="31">
        <v>1540546</v>
      </c>
      <c r="AF22" s="31">
        <v>1545928</v>
      </c>
      <c r="AG22" s="31">
        <v>1551242</v>
      </c>
      <c r="AH22" s="31">
        <v>1556445</v>
      </c>
      <c r="AI22" s="31">
        <v>1561493</v>
      </c>
      <c r="AJ22" s="31">
        <v>1566347</v>
      </c>
    </row>
    <row r="23" spans="1:36" ht="15" customHeight="1" x14ac:dyDescent="0.25">
      <c r="A23" s="19" t="s">
        <v>15</v>
      </c>
      <c r="B23" s="20">
        <v>384284</v>
      </c>
      <c r="C23" s="20">
        <v>465976</v>
      </c>
      <c r="D23" s="20">
        <v>528715</v>
      </c>
      <c r="E23" s="31">
        <v>620023</v>
      </c>
      <c r="F23" s="31">
        <v>696076</v>
      </c>
      <c r="G23" s="31">
        <v>704652</v>
      </c>
      <c r="H23" s="31">
        <v>713240</v>
      </c>
      <c r="I23" s="31">
        <v>721830</v>
      </c>
      <c r="J23" s="31">
        <v>730408</v>
      </c>
      <c r="K23" s="31">
        <v>738959</v>
      </c>
      <c r="L23" s="31">
        <v>747488</v>
      </c>
      <c r="M23" s="31">
        <v>755994</v>
      </c>
      <c r="N23" s="31">
        <v>764464</v>
      </c>
      <c r="O23" s="31">
        <v>772876</v>
      </c>
      <c r="P23" s="31">
        <v>781217</v>
      </c>
      <c r="Q23" s="31">
        <v>789489</v>
      </c>
      <c r="R23" s="31">
        <v>837233</v>
      </c>
      <c r="S23" s="31">
        <v>841155</v>
      </c>
      <c r="T23" s="31">
        <v>845201</v>
      </c>
      <c r="U23" s="31">
        <v>849117</v>
      </c>
      <c r="V23" s="31">
        <v>852747</v>
      </c>
      <c r="W23" s="31">
        <v>856101</v>
      </c>
      <c r="X23" s="31">
        <v>859378</v>
      </c>
      <c r="Y23" s="31">
        <v>862666</v>
      </c>
      <c r="Z23" s="31">
        <v>865955</v>
      </c>
      <c r="AA23" s="31">
        <v>869273</v>
      </c>
      <c r="AB23" s="31">
        <v>872614</v>
      </c>
      <c r="AC23" s="31">
        <v>875975</v>
      </c>
      <c r="AD23" s="31">
        <v>879323</v>
      </c>
      <c r="AE23" s="31">
        <v>882668</v>
      </c>
      <c r="AF23" s="31">
        <v>886017</v>
      </c>
      <c r="AG23" s="31">
        <v>889342</v>
      </c>
      <c r="AH23" s="31">
        <v>892623</v>
      </c>
      <c r="AI23" s="31">
        <v>895838</v>
      </c>
      <c r="AJ23" s="31">
        <v>898946</v>
      </c>
    </row>
    <row r="24" spans="1:36" ht="15" customHeight="1" x14ac:dyDescent="0.25">
      <c r="A24" s="19" t="s">
        <v>16</v>
      </c>
      <c r="B24" s="20">
        <v>183460</v>
      </c>
      <c r="C24" s="20">
        <v>214416</v>
      </c>
      <c r="D24" s="20">
        <v>286458</v>
      </c>
      <c r="E24" s="31">
        <v>367933</v>
      </c>
      <c r="F24" s="31">
        <v>443944</v>
      </c>
      <c r="G24" s="31">
        <v>450434</v>
      </c>
      <c r="H24" s="31">
        <v>456924</v>
      </c>
      <c r="I24" s="31">
        <v>463411</v>
      </c>
      <c r="J24" s="31">
        <v>469889</v>
      </c>
      <c r="K24" s="31">
        <v>476351</v>
      </c>
      <c r="L24" s="31">
        <v>482796</v>
      </c>
      <c r="M24" s="31">
        <v>489225</v>
      </c>
      <c r="N24" s="31">
        <v>495629</v>
      </c>
      <c r="O24" s="31">
        <v>502000</v>
      </c>
      <c r="P24" s="31">
        <v>508328</v>
      </c>
      <c r="Q24" s="31">
        <v>514610</v>
      </c>
      <c r="R24" s="31">
        <v>527530</v>
      </c>
      <c r="S24" s="31">
        <v>530792</v>
      </c>
      <c r="T24" s="31">
        <v>533465</v>
      </c>
      <c r="U24" s="31">
        <v>536173</v>
      </c>
      <c r="V24" s="31">
        <v>538852</v>
      </c>
      <c r="W24" s="31">
        <v>541490</v>
      </c>
      <c r="X24" s="31">
        <v>544082</v>
      </c>
      <c r="Y24" s="31">
        <v>546646</v>
      </c>
      <c r="Z24" s="31">
        <v>549169</v>
      </c>
      <c r="AA24" s="31">
        <v>551693</v>
      </c>
      <c r="AB24" s="31">
        <v>554205</v>
      </c>
      <c r="AC24" s="31">
        <v>556706</v>
      </c>
      <c r="AD24" s="31">
        <v>559198</v>
      </c>
      <c r="AE24" s="31">
        <v>561658</v>
      </c>
      <c r="AF24" s="31">
        <v>564080</v>
      </c>
      <c r="AG24" s="31">
        <v>566474</v>
      </c>
      <c r="AH24" s="31">
        <v>568813</v>
      </c>
      <c r="AI24" s="31">
        <v>571072</v>
      </c>
      <c r="AJ24" s="31">
        <v>573246</v>
      </c>
    </row>
    <row r="25" spans="1:36" ht="15" customHeight="1" x14ac:dyDescent="0.25">
      <c r="A25" s="19" t="s">
        <v>17</v>
      </c>
      <c r="B25" s="20">
        <v>84457</v>
      </c>
      <c r="C25" s="20">
        <v>114941</v>
      </c>
      <c r="D25" s="20">
        <v>159839</v>
      </c>
      <c r="E25" s="31">
        <v>196958</v>
      </c>
      <c r="F25" s="31">
        <v>275452</v>
      </c>
      <c r="G25" s="31">
        <v>284414</v>
      </c>
      <c r="H25" s="31">
        <v>293407</v>
      </c>
      <c r="I25" s="31">
        <v>302420</v>
      </c>
      <c r="J25" s="31">
        <v>311444</v>
      </c>
      <c r="K25" s="31">
        <v>320469</v>
      </c>
      <c r="L25" s="31">
        <v>329499</v>
      </c>
      <c r="M25" s="31">
        <v>338542</v>
      </c>
      <c r="N25" s="31">
        <v>347593</v>
      </c>
      <c r="O25" s="31">
        <v>356647</v>
      </c>
      <c r="P25" s="31">
        <v>365698</v>
      </c>
      <c r="Q25" s="31">
        <v>374756</v>
      </c>
      <c r="R25" s="31">
        <v>334397</v>
      </c>
      <c r="S25" s="31">
        <v>334541</v>
      </c>
      <c r="T25" s="31">
        <v>334752</v>
      </c>
      <c r="U25" s="31">
        <v>334953</v>
      </c>
      <c r="V25" s="31">
        <v>335096</v>
      </c>
      <c r="W25" s="31">
        <v>335186</v>
      </c>
      <c r="X25" s="31">
        <v>335260</v>
      </c>
      <c r="Y25" s="31">
        <v>335302</v>
      </c>
      <c r="Z25" s="31">
        <v>335317</v>
      </c>
      <c r="AA25" s="31">
        <v>335351</v>
      </c>
      <c r="AB25" s="31">
        <v>335378</v>
      </c>
      <c r="AC25" s="31">
        <v>335415</v>
      </c>
      <c r="AD25" s="31">
        <v>335449</v>
      </c>
      <c r="AE25" s="31">
        <v>335511</v>
      </c>
      <c r="AF25" s="31">
        <v>335582</v>
      </c>
      <c r="AG25" s="31">
        <v>335694</v>
      </c>
      <c r="AH25" s="31">
        <v>335806</v>
      </c>
      <c r="AI25" s="31">
        <v>335921</v>
      </c>
      <c r="AJ25" s="31">
        <v>336026</v>
      </c>
    </row>
    <row r="26" spans="1:36" ht="15" customHeight="1" x14ac:dyDescent="0.25">
      <c r="A26" s="19" t="s">
        <v>18</v>
      </c>
      <c r="B26" s="20">
        <v>2135583</v>
      </c>
      <c r="C26" s="20">
        <v>2465546</v>
      </c>
      <c r="D26" s="20">
        <v>2798422</v>
      </c>
      <c r="E26" s="31">
        <v>3000701</v>
      </c>
      <c r="F26" s="31">
        <v>3257907</v>
      </c>
      <c r="G26" s="31">
        <v>3285408</v>
      </c>
      <c r="H26" s="31">
        <v>3313212</v>
      </c>
      <c r="I26" s="31">
        <v>3341228</v>
      </c>
      <c r="J26" s="31">
        <v>3369365</v>
      </c>
      <c r="K26" s="31">
        <v>3397532</v>
      </c>
      <c r="L26" s="31">
        <v>3425656</v>
      </c>
      <c r="M26" s="31">
        <v>3453674</v>
      </c>
      <c r="N26" s="31">
        <v>3481514</v>
      </c>
      <c r="O26" s="31">
        <v>3509113</v>
      </c>
      <c r="P26" s="31">
        <v>3536418</v>
      </c>
      <c r="Q26" s="31">
        <v>3563390</v>
      </c>
      <c r="R26" s="31">
        <v>3670163</v>
      </c>
      <c r="S26" s="31">
        <v>3674361</v>
      </c>
      <c r="T26" s="31">
        <v>3679597</v>
      </c>
      <c r="U26" s="31">
        <v>3684529</v>
      </c>
      <c r="V26" s="31">
        <v>3688683</v>
      </c>
      <c r="W26" s="31">
        <v>3692001</v>
      </c>
      <c r="X26" s="31">
        <v>3695020</v>
      </c>
      <c r="Y26" s="31">
        <v>3697955</v>
      </c>
      <c r="Z26" s="31">
        <v>3700705</v>
      </c>
      <c r="AA26" s="31">
        <v>3703416</v>
      </c>
      <c r="AB26" s="31">
        <v>3706100</v>
      </c>
      <c r="AC26" s="31">
        <v>3708721</v>
      </c>
      <c r="AD26" s="31">
        <v>3711266</v>
      </c>
      <c r="AE26" s="31">
        <v>3713752</v>
      </c>
      <c r="AF26" s="31">
        <v>3716208</v>
      </c>
      <c r="AG26" s="31">
        <v>3718567</v>
      </c>
      <c r="AH26" s="31">
        <v>3720759</v>
      </c>
      <c r="AI26" s="31">
        <v>3722719</v>
      </c>
      <c r="AJ26" s="31">
        <v>3724386</v>
      </c>
    </row>
    <row r="27" spans="1:36" ht="15" customHeight="1" x14ac:dyDescent="0.25">
      <c r="A27" s="19" t="s">
        <v>19</v>
      </c>
      <c r="B27" s="20">
        <v>495419</v>
      </c>
      <c r="C27" s="20">
        <v>594920</v>
      </c>
      <c r="D27" s="20">
        <v>671988</v>
      </c>
      <c r="E27" s="31">
        <v>804457</v>
      </c>
      <c r="F27" s="31">
        <v>879246</v>
      </c>
      <c r="G27" s="31">
        <v>888809</v>
      </c>
      <c r="H27" s="31">
        <v>898484</v>
      </c>
      <c r="I27" s="31">
        <v>908268</v>
      </c>
      <c r="J27" s="31">
        <v>918147</v>
      </c>
      <c r="K27" s="31">
        <v>928097</v>
      </c>
      <c r="L27" s="31">
        <v>938109</v>
      </c>
      <c r="M27" s="31">
        <v>948172</v>
      </c>
      <c r="N27" s="31">
        <v>958251</v>
      </c>
      <c r="O27" s="31">
        <v>968309</v>
      </c>
      <c r="P27" s="31">
        <v>978313</v>
      </c>
      <c r="Q27" s="31">
        <v>988245</v>
      </c>
      <c r="R27" s="31">
        <v>1045276</v>
      </c>
      <c r="S27" s="31">
        <v>1049610</v>
      </c>
      <c r="T27" s="31">
        <v>1053409</v>
      </c>
      <c r="U27" s="31">
        <v>1056774</v>
      </c>
      <c r="V27" s="31">
        <v>1059927</v>
      </c>
      <c r="W27" s="31">
        <v>1062900</v>
      </c>
      <c r="X27" s="31">
        <v>1065723</v>
      </c>
      <c r="Y27" s="31">
        <v>1068512</v>
      </c>
      <c r="Z27" s="31">
        <v>1071328</v>
      </c>
      <c r="AA27" s="31">
        <v>1074253</v>
      </c>
      <c r="AB27" s="31">
        <v>1077252</v>
      </c>
      <c r="AC27" s="31">
        <v>1080299</v>
      </c>
      <c r="AD27" s="31">
        <v>1083397</v>
      </c>
      <c r="AE27" s="31">
        <v>1086530</v>
      </c>
      <c r="AF27" s="31">
        <v>1089685</v>
      </c>
      <c r="AG27" s="31">
        <v>1092846</v>
      </c>
      <c r="AH27" s="31">
        <v>1095967</v>
      </c>
      <c r="AI27" s="31">
        <v>1099020</v>
      </c>
      <c r="AJ27" s="31">
        <v>1101964</v>
      </c>
    </row>
    <row r="28" spans="1:36" ht="15" customHeight="1" x14ac:dyDescent="0.25">
      <c r="A28" s="19" t="s">
        <v>20</v>
      </c>
      <c r="B28" s="20">
        <v>15658</v>
      </c>
      <c r="C28" s="20">
        <v>27358</v>
      </c>
      <c r="D28" s="20">
        <v>69369</v>
      </c>
      <c r="E28" s="31">
        <v>101079</v>
      </c>
      <c r="F28" s="31">
        <v>131661</v>
      </c>
      <c r="G28" s="31">
        <v>135742</v>
      </c>
      <c r="H28" s="31">
        <v>139852</v>
      </c>
      <c r="I28" s="31">
        <v>143987</v>
      </c>
      <c r="J28" s="31">
        <v>148143</v>
      </c>
      <c r="K28" s="31">
        <v>152317</v>
      </c>
      <c r="L28" s="31">
        <v>156509</v>
      </c>
      <c r="M28" s="31">
        <v>160720</v>
      </c>
      <c r="N28" s="31">
        <v>164944</v>
      </c>
      <c r="O28" s="31">
        <v>169183</v>
      </c>
      <c r="P28" s="31">
        <v>173432</v>
      </c>
      <c r="Q28" s="31">
        <v>177697</v>
      </c>
      <c r="R28" s="31">
        <v>179645</v>
      </c>
      <c r="S28" s="31">
        <v>180555</v>
      </c>
      <c r="T28" s="31">
        <v>181263</v>
      </c>
      <c r="U28" s="31">
        <v>182003</v>
      </c>
      <c r="V28" s="31">
        <v>182744</v>
      </c>
      <c r="W28" s="31">
        <v>183488</v>
      </c>
      <c r="X28" s="31">
        <v>184236</v>
      </c>
      <c r="Y28" s="31">
        <v>184986</v>
      </c>
      <c r="Z28" s="31">
        <v>185746</v>
      </c>
      <c r="AA28" s="31">
        <v>186515</v>
      </c>
      <c r="AB28" s="31">
        <v>187317</v>
      </c>
      <c r="AC28" s="31">
        <v>188151</v>
      </c>
      <c r="AD28" s="31">
        <v>189044</v>
      </c>
      <c r="AE28" s="31">
        <v>189953</v>
      </c>
      <c r="AF28" s="31">
        <v>190852</v>
      </c>
      <c r="AG28" s="31">
        <v>191732</v>
      </c>
      <c r="AH28" s="31">
        <v>192610</v>
      </c>
      <c r="AI28" s="31">
        <v>193452</v>
      </c>
      <c r="AJ28" s="31">
        <v>194261</v>
      </c>
    </row>
    <row r="29" spans="1:36" ht="15" customHeight="1" x14ac:dyDescent="0.25">
      <c r="A29" s="19" t="s">
        <v>21</v>
      </c>
      <c r="B29" s="20">
        <v>765962</v>
      </c>
      <c r="C29" s="20">
        <v>972655</v>
      </c>
      <c r="D29" s="20">
        <v>1142105</v>
      </c>
      <c r="E29" s="31">
        <v>1338523</v>
      </c>
      <c r="F29" s="31">
        <v>1489225</v>
      </c>
      <c r="G29" s="31">
        <v>1509932</v>
      </c>
      <c r="H29" s="31">
        <v>1530689</v>
      </c>
      <c r="I29" s="31">
        <v>1551460</v>
      </c>
      <c r="J29" s="31">
        <v>1572205</v>
      </c>
      <c r="K29" s="31">
        <v>1592878</v>
      </c>
      <c r="L29" s="31">
        <v>1613476</v>
      </c>
      <c r="M29" s="31">
        <v>1633992</v>
      </c>
      <c r="N29" s="31">
        <v>1654388</v>
      </c>
      <c r="O29" s="31">
        <v>1674622</v>
      </c>
      <c r="P29" s="31">
        <v>1694656</v>
      </c>
      <c r="Q29" s="31">
        <v>1714487</v>
      </c>
      <c r="R29" s="31">
        <v>1758288</v>
      </c>
      <c r="S29" s="31">
        <v>1763239</v>
      </c>
      <c r="T29" s="31">
        <v>1768368</v>
      </c>
      <c r="U29" s="31">
        <v>1773567</v>
      </c>
      <c r="V29" s="31">
        <v>1778484</v>
      </c>
      <c r="W29" s="31">
        <v>1783139</v>
      </c>
      <c r="X29" s="31">
        <v>1787513</v>
      </c>
      <c r="Y29" s="31">
        <v>1791730</v>
      </c>
      <c r="Z29" s="31">
        <v>1795918</v>
      </c>
      <c r="AA29" s="31">
        <v>1800167</v>
      </c>
      <c r="AB29" s="31">
        <v>1804448</v>
      </c>
      <c r="AC29" s="31">
        <v>1808746</v>
      </c>
      <c r="AD29" s="31">
        <v>1813045</v>
      </c>
      <c r="AE29" s="31">
        <v>1817352</v>
      </c>
      <c r="AF29" s="31">
        <v>1821650</v>
      </c>
      <c r="AG29" s="31">
        <v>1825911</v>
      </c>
      <c r="AH29" s="31">
        <v>1830106</v>
      </c>
      <c r="AI29" s="31">
        <v>1834161</v>
      </c>
      <c r="AJ29" s="31">
        <v>1838056</v>
      </c>
    </row>
    <row r="30" spans="1:36" ht="15" customHeight="1" x14ac:dyDescent="0.25">
      <c r="A30" s="21" t="s">
        <v>37</v>
      </c>
      <c r="B30" s="22">
        <v>23364431</v>
      </c>
      <c r="C30" s="22">
        <v>27947446</v>
      </c>
      <c r="D30" s="22">
        <v>32615528</v>
      </c>
      <c r="E30" s="22">
        <v>36260130</v>
      </c>
      <c r="F30" s="22">
        <v>40788453</v>
      </c>
      <c r="G30" s="22">
        <v>41261490</v>
      </c>
      <c r="H30" s="22">
        <v>41733271</v>
      </c>
      <c r="I30" s="22">
        <v>42202935</v>
      </c>
      <c r="J30" s="22">
        <v>42669500</v>
      </c>
      <c r="K30" s="22">
        <v>43131966</v>
      </c>
      <c r="L30" s="22">
        <v>43590368</v>
      </c>
      <c r="M30" s="22">
        <v>44044811</v>
      </c>
      <c r="N30" s="22">
        <v>44494502</v>
      </c>
      <c r="O30" s="22">
        <v>44938712</v>
      </c>
      <c r="P30" s="22">
        <v>45376763</v>
      </c>
      <c r="Q30" s="22">
        <v>45808747</v>
      </c>
      <c r="R30" s="22">
        <v>46135579</v>
      </c>
      <c r="S30" s="22">
        <v>46214462</v>
      </c>
      <c r="T30" s="22">
        <v>46301743</v>
      </c>
      <c r="U30" s="22">
        <v>46387098</v>
      </c>
      <c r="V30" s="22">
        <v>46466688</v>
      </c>
      <c r="W30" s="22">
        <v>46540071</v>
      </c>
      <c r="X30" s="22">
        <v>46609533</v>
      </c>
      <c r="Y30" s="22">
        <v>46676999</v>
      </c>
      <c r="Z30" s="22">
        <v>46744389</v>
      </c>
      <c r="AA30" s="22">
        <v>46814264</v>
      </c>
      <c r="AB30" s="22">
        <v>46886737</v>
      </c>
      <c r="AC30" s="22">
        <v>46961803</v>
      </c>
      <c r="AD30" s="22">
        <v>47039274</v>
      </c>
      <c r="AE30" s="22">
        <v>47118716</v>
      </c>
      <c r="AF30" s="22">
        <v>47199436</v>
      </c>
      <c r="AG30" s="22">
        <v>47280504</v>
      </c>
      <c r="AH30" s="22">
        <v>47360804</v>
      </c>
      <c r="AI30" s="22">
        <v>47439108</v>
      </c>
      <c r="AJ30" s="22">
        <v>47514116</v>
      </c>
    </row>
    <row r="31" spans="1:36" ht="12.75" customHeight="1" x14ac:dyDescent="0.25">
      <c r="A31" s="4"/>
      <c r="B31" s="4"/>
      <c r="C31" s="4"/>
      <c r="D31" s="4"/>
      <c r="E31" s="4"/>
      <c r="F31" s="1"/>
      <c r="G31" s="1"/>
      <c r="H31" s="1"/>
      <c r="I31" s="1"/>
      <c r="J31" s="1"/>
      <c r="K31" s="1"/>
    </row>
    <row r="32" spans="1:36" ht="15" customHeight="1" x14ac:dyDescent="0.25">
      <c r="A32" s="46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  <c r="N32" s="48"/>
      <c r="O32" s="48"/>
      <c r="P32" s="48"/>
      <c r="Q32" s="48"/>
    </row>
    <row r="33" spans="1:17" ht="15" customHeight="1" x14ac:dyDescent="0.25">
      <c r="A33" s="53" t="s">
        <v>46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48"/>
      <c r="M33" s="48"/>
      <c r="N33" s="48"/>
      <c r="O33" s="48"/>
      <c r="P33" s="48"/>
      <c r="Q33" s="48"/>
    </row>
    <row r="34" spans="1:17" ht="15" customHeight="1" x14ac:dyDescent="0.25">
      <c r="A34" s="52" t="s">
        <v>47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48"/>
      <c r="M34" s="48"/>
      <c r="N34" s="48"/>
      <c r="O34" s="48"/>
      <c r="P34" s="48"/>
      <c r="Q34" s="48"/>
    </row>
    <row r="35" spans="1:17" ht="15" customHeight="1" x14ac:dyDescent="0.25">
      <c r="A35" s="53" t="s">
        <v>48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48"/>
      <c r="M35" s="48"/>
      <c r="N35" s="48"/>
      <c r="O35" s="48"/>
      <c r="P35" s="48"/>
      <c r="Q35" s="48"/>
    </row>
    <row r="36" spans="1:17" x14ac:dyDescent="0.25">
      <c r="A36" s="52" t="s">
        <v>49</v>
      </c>
      <c r="B36" s="49"/>
      <c r="C36" s="49"/>
      <c r="D36" s="49"/>
      <c r="E36" s="49"/>
      <c r="F36" s="6"/>
      <c r="G36" s="6"/>
      <c r="H36" s="6"/>
      <c r="I36" s="6"/>
      <c r="J36" s="48"/>
      <c r="K36" s="48"/>
      <c r="L36" s="48"/>
      <c r="M36" s="48"/>
      <c r="N36" s="48"/>
      <c r="O36" s="48"/>
      <c r="P36" s="48"/>
      <c r="Q36" s="48"/>
    </row>
    <row r="37" spans="1:17" x14ac:dyDescent="0.25">
      <c r="A37" s="52"/>
      <c r="B37" s="49"/>
      <c r="C37" s="49"/>
      <c r="D37" s="49"/>
      <c r="E37" s="49"/>
      <c r="F37" s="6"/>
      <c r="G37" s="6"/>
      <c r="H37" s="6"/>
      <c r="I37" s="6"/>
      <c r="J37" s="48"/>
      <c r="K37" s="48"/>
      <c r="L37" s="48"/>
      <c r="M37" s="48"/>
      <c r="N37" s="48"/>
      <c r="O37" s="48"/>
      <c r="P37" s="48"/>
      <c r="Q37" s="48"/>
    </row>
    <row r="38" spans="1:17" x14ac:dyDescent="0.25">
      <c r="A38" s="3" t="s">
        <v>38</v>
      </c>
      <c r="B38" s="5"/>
      <c r="C38" s="5"/>
      <c r="D38" s="5"/>
      <c r="E38" s="5"/>
      <c r="F38" s="6"/>
      <c r="G38" s="6"/>
      <c r="H38" s="6"/>
      <c r="I38" s="6"/>
    </row>
    <row r="39" spans="1:17" x14ac:dyDescent="0.25">
      <c r="B39" s="5"/>
      <c r="C39" s="5"/>
      <c r="D39" s="5"/>
      <c r="E39" s="5"/>
      <c r="F39" s="6"/>
      <c r="G39" s="6"/>
      <c r="H39" s="6"/>
      <c r="I39" s="6"/>
    </row>
  </sheetData>
  <hyperlinks>
    <hyperlink ref="A2" r:id="rId1" xr:uid="{00000000-0004-0000-0000-000000000000}"/>
    <hyperlink ref="A34" r:id="rId2" xr:uid="{F73AABDB-3755-4FEB-9C84-B58B051F2507}"/>
    <hyperlink ref="A36" r:id="rId3" xr:uid="{6C5399DB-7943-4122-A59C-BC1B4E8CA6AA}"/>
  </hyperlinks>
  <pageMargins left="0.27559055118110237" right="0.27559055118110237" top="0.55118110236220474" bottom="0.55118110236220474" header="0.31496062992125984" footer="0.31496062992125984"/>
  <pageSetup paperSize="9" scale="63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0"/>
  <sheetViews>
    <sheetView showGridLines="0" workbookViewId="0">
      <selection activeCell="T30" sqref="T30"/>
    </sheetView>
  </sheetViews>
  <sheetFormatPr baseColWidth="10" defaultRowHeight="15" customHeight="1" x14ac:dyDescent="0.2"/>
  <cols>
    <col min="1" max="1" width="21.7109375" style="33" customWidth="1"/>
    <col min="2" max="174" width="11.42578125" style="33"/>
    <col min="175" max="175" width="11.42578125" style="33" customWidth="1"/>
    <col min="176" max="237" width="11.42578125" style="33"/>
    <col min="238" max="253" width="11.42578125" style="33" customWidth="1"/>
    <col min="254" max="430" width="11.42578125" style="33"/>
    <col min="431" max="431" width="11.42578125" style="33" customWidth="1"/>
    <col min="432" max="493" width="11.42578125" style="33"/>
    <col min="494" max="509" width="11.42578125" style="33" customWidth="1"/>
    <col min="510" max="686" width="11.42578125" style="33"/>
    <col min="687" max="687" width="11.42578125" style="33" customWidth="1"/>
    <col min="688" max="749" width="11.42578125" style="33"/>
    <col min="750" max="765" width="11.42578125" style="33" customWidth="1"/>
    <col min="766" max="942" width="11.42578125" style="33"/>
    <col min="943" max="943" width="11.42578125" style="33" customWidth="1"/>
    <col min="944" max="1005" width="11.42578125" style="33"/>
    <col min="1006" max="1021" width="11.42578125" style="33" customWidth="1"/>
    <col min="1022" max="1198" width="11.42578125" style="33"/>
    <col min="1199" max="1199" width="11.42578125" style="33" customWidth="1"/>
    <col min="1200" max="1261" width="11.42578125" style="33"/>
    <col min="1262" max="1277" width="11.42578125" style="33" customWidth="1"/>
    <col min="1278" max="1454" width="11.42578125" style="33"/>
    <col min="1455" max="1455" width="11.42578125" style="33" customWidth="1"/>
    <col min="1456" max="1517" width="11.42578125" style="33"/>
    <col min="1518" max="1533" width="11.42578125" style="33" customWidth="1"/>
    <col min="1534" max="1710" width="11.42578125" style="33"/>
    <col min="1711" max="1711" width="11.42578125" style="33" customWidth="1"/>
    <col min="1712" max="1773" width="11.42578125" style="33"/>
    <col min="1774" max="1789" width="11.42578125" style="33" customWidth="1"/>
    <col min="1790" max="1966" width="11.42578125" style="33"/>
    <col min="1967" max="1967" width="11.42578125" style="33" customWidth="1"/>
    <col min="1968" max="2029" width="11.42578125" style="33"/>
    <col min="2030" max="2045" width="11.42578125" style="33" customWidth="1"/>
    <col min="2046" max="2222" width="11.42578125" style="33"/>
    <col min="2223" max="2223" width="11.42578125" style="33" customWidth="1"/>
    <col min="2224" max="2285" width="11.42578125" style="33"/>
    <col min="2286" max="2301" width="11.42578125" style="33" customWidth="1"/>
    <col min="2302" max="2478" width="11.42578125" style="33"/>
    <col min="2479" max="2479" width="11.42578125" style="33" customWidth="1"/>
    <col min="2480" max="2541" width="11.42578125" style="33"/>
    <col min="2542" max="2557" width="11.42578125" style="33" customWidth="1"/>
    <col min="2558" max="2734" width="11.42578125" style="33"/>
    <col min="2735" max="2735" width="11.42578125" style="33" customWidth="1"/>
    <col min="2736" max="2797" width="11.42578125" style="33"/>
    <col min="2798" max="2813" width="11.42578125" style="33" customWidth="1"/>
    <col min="2814" max="2990" width="11.42578125" style="33"/>
    <col min="2991" max="2991" width="11.42578125" style="33" customWidth="1"/>
    <col min="2992" max="3053" width="11.42578125" style="33"/>
    <col min="3054" max="3069" width="11.42578125" style="33" customWidth="1"/>
    <col min="3070" max="3246" width="11.42578125" style="33"/>
    <col min="3247" max="3247" width="11.42578125" style="33" customWidth="1"/>
    <col min="3248" max="3309" width="11.42578125" style="33"/>
    <col min="3310" max="3325" width="11.42578125" style="33" customWidth="1"/>
    <col min="3326" max="3502" width="11.42578125" style="33"/>
    <col min="3503" max="3503" width="11.42578125" style="33" customWidth="1"/>
    <col min="3504" max="3565" width="11.42578125" style="33"/>
    <col min="3566" max="3581" width="11.42578125" style="33" customWidth="1"/>
    <col min="3582" max="3758" width="11.42578125" style="33"/>
    <col min="3759" max="3759" width="11.42578125" style="33" customWidth="1"/>
    <col min="3760" max="3821" width="11.42578125" style="33"/>
    <col min="3822" max="3837" width="11.42578125" style="33" customWidth="1"/>
    <col min="3838" max="4014" width="11.42578125" style="33"/>
    <col min="4015" max="4015" width="11.42578125" style="33" customWidth="1"/>
    <col min="4016" max="4077" width="11.42578125" style="33"/>
    <col min="4078" max="4093" width="11.42578125" style="33" customWidth="1"/>
    <col min="4094" max="4270" width="11.42578125" style="33"/>
    <col min="4271" max="4271" width="11.42578125" style="33" customWidth="1"/>
    <col min="4272" max="4333" width="11.42578125" style="33"/>
    <col min="4334" max="4349" width="11.42578125" style="33" customWidth="1"/>
    <col min="4350" max="4526" width="11.42578125" style="33"/>
    <col min="4527" max="4527" width="11.42578125" style="33" customWidth="1"/>
    <col min="4528" max="4589" width="11.42578125" style="33"/>
    <col min="4590" max="4605" width="11.42578125" style="33" customWidth="1"/>
    <col min="4606" max="4782" width="11.42578125" style="33"/>
    <col min="4783" max="4783" width="11.42578125" style="33" customWidth="1"/>
    <col min="4784" max="4845" width="11.42578125" style="33"/>
    <col min="4846" max="4861" width="11.42578125" style="33" customWidth="1"/>
    <col min="4862" max="5038" width="11.42578125" style="33"/>
    <col min="5039" max="5039" width="11.42578125" style="33" customWidth="1"/>
    <col min="5040" max="5101" width="11.42578125" style="33"/>
    <col min="5102" max="5117" width="11.42578125" style="33" customWidth="1"/>
    <col min="5118" max="5294" width="11.42578125" style="33"/>
    <col min="5295" max="5295" width="11.42578125" style="33" customWidth="1"/>
    <col min="5296" max="5357" width="11.42578125" style="33"/>
    <col min="5358" max="5373" width="11.42578125" style="33" customWidth="1"/>
    <col min="5374" max="5550" width="11.42578125" style="33"/>
    <col min="5551" max="5551" width="11.42578125" style="33" customWidth="1"/>
    <col min="5552" max="5613" width="11.42578125" style="33"/>
    <col min="5614" max="5629" width="11.42578125" style="33" customWidth="1"/>
    <col min="5630" max="5806" width="11.42578125" style="33"/>
    <col min="5807" max="5807" width="11.42578125" style="33" customWidth="1"/>
    <col min="5808" max="5869" width="11.42578125" style="33"/>
    <col min="5870" max="5885" width="11.42578125" style="33" customWidth="1"/>
    <col min="5886" max="6062" width="11.42578125" style="33"/>
    <col min="6063" max="6063" width="11.42578125" style="33" customWidth="1"/>
    <col min="6064" max="6125" width="11.42578125" style="33"/>
    <col min="6126" max="6141" width="11.42578125" style="33" customWidth="1"/>
    <col min="6142" max="6318" width="11.42578125" style="33"/>
    <col min="6319" max="6319" width="11.42578125" style="33" customWidth="1"/>
    <col min="6320" max="6381" width="11.42578125" style="33"/>
    <col min="6382" max="6397" width="11.42578125" style="33" customWidth="1"/>
    <col min="6398" max="6574" width="11.42578125" style="33"/>
    <col min="6575" max="6575" width="11.42578125" style="33" customWidth="1"/>
    <col min="6576" max="6637" width="11.42578125" style="33"/>
    <col min="6638" max="6653" width="11.42578125" style="33" customWidth="1"/>
    <col min="6654" max="6830" width="11.42578125" style="33"/>
    <col min="6831" max="6831" width="11.42578125" style="33" customWidth="1"/>
    <col min="6832" max="6893" width="11.42578125" style="33"/>
    <col min="6894" max="6909" width="11.42578125" style="33" customWidth="1"/>
    <col min="6910" max="7086" width="11.42578125" style="33"/>
    <col min="7087" max="7087" width="11.42578125" style="33" customWidth="1"/>
    <col min="7088" max="7149" width="11.42578125" style="33"/>
    <col min="7150" max="7165" width="11.42578125" style="33" customWidth="1"/>
    <col min="7166" max="7342" width="11.42578125" style="33"/>
    <col min="7343" max="7343" width="11.42578125" style="33" customWidth="1"/>
    <col min="7344" max="7405" width="11.42578125" style="33"/>
    <col min="7406" max="7421" width="11.42578125" style="33" customWidth="1"/>
    <col min="7422" max="7598" width="11.42578125" style="33"/>
    <col min="7599" max="7599" width="11.42578125" style="33" customWidth="1"/>
    <col min="7600" max="7661" width="11.42578125" style="33"/>
    <col min="7662" max="7677" width="11.42578125" style="33" customWidth="1"/>
    <col min="7678" max="7854" width="11.42578125" style="33"/>
    <col min="7855" max="7855" width="11.42578125" style="33" customWidth="1"/>
    <col min="7856" max="7917" width="11.42578125" style="33"/>
    <col min="7918" max="7933" width="11.42578125" style="33" customWidth="1"/>
    <col min="7934" max="8110" width="11.42578125" style="33"/>
    <col min="8111" max="8111" width="11.42578125" style="33" customWidth="1"/>
    <col min="8112" max="8173" width="11.42578125" style="33"/>
    <col min="8174" max="8189" width="11.42578125" style="33" customWidth="1"/>
    <col min="8190" max="8366" width="11.42578125" style="33"/>
    <col min="8367" max="8367" width="11.42578125" style="33" customWidth="1"/>
    <col min="8368" max="8429" width="11.42578125" style="33"/>
    <col min="8430" max="8445" width="11.42578125" style="33" customWidth="1"/>
    <col min="8446" max="8622" width="11.42578125" style="33"/>
    <col min="8623" max="8623" width="11.42578125" style="33" customWidth="1"/>
    <col min="8624" max="8685" width="11.42578125" style="33"/>
    <col min="8686" max="8701" width="11.42578125" style="33" customWidth="1"/>
    <col min="8702" max="8878" width="11.42578125" style="33"/>
    <col min="8879" max="8879" width="11.42578125" style="33" customWidth="1"/>
    <col min="8880" max="8941" width="11.42578125" style="33"/>
    <col min="8942" max="8957" width="11.42578125" style="33" customWidth="1"/>
    <col min="8958" max="9134" width="11.42578125" style="33"/>
    <col min="9135" max="9135" width="11.42578125" style="33" customWidth="1"/>
    <col min="9136" max="9197" width="11.42578125" style="33"/>
    <col min="9198" max="9213" width="11.42578125" style="33" customWidth="1"/>
    <col min="9214" max="9390" width="11.42578125" style="33"/>
    <col min="9391" max="9391" width="11.42578125" style="33" customWidth="1"/>
    <col min="9392" max="9453" width="11.42578125" style="33"/>
    <col min="9454" max="9469" width="11.42578125" style="33" customWidth="1"/>
    <col min="9470" max="9646" width="11.42578125" style="33"/>
    <col min="9647" max="9647" width="11.42578125" style="33" customWidth="1"/>
    <col min="9648" max="9709" width="11.42578125" style="33"/>
    <col min="9710" max="9725" width="11.42578125" style="33" customWidth="1"/>
    <col min="9726" max="9902" width="11.42578125" style="33"/>
    <col min="9903" max="9903" width="11.42578125" style="33" customWidth="1"/>
    <col min="9904" max="9965" width="11.42578125" style="33"/>
    <col min="9966" max="9981" width="11.42578125" style="33" customWidth="1"/>
    <col min="9982" max="10158" width="11.42578125" style="33"/>
    <col min="10159" max="10159" width="11.42578125" style="33" customWidth="1"/>
    <col min="10160" max="10221" width="11.42578125" style="33"/>
    <col min="10222" max="10237" width="11.42578125" style="33" customWidth="1"/>
    <col min="10238" max="10414" width="11.42578125" style="33"/>
    <col min="10415" max="10415" width="11.42578125" style="33" customWidth="1"/>
    <col min="10416" max="10477" width="11.42578125" style="33"/>
    <col min="10478" max="10493" width="11.42578125" style="33" customWidth="1"/>
    <col min="10494" max="10670" width="11.42578125" style="33"/>
    <col min="10671" max="10671" width="11.42578125" style="33" customWidth="1"/>
    <col min="10672" max="10733" width="11.42578125" style="33"/>
    <col min="10734" max="10749" width="11.42578125" style="33" customWidth="1"/>
    <col min="10750" max="10926" width="11.42578125" style="33"/>
    <col min="10927" max="10927" width="11.42578125" style="33" customWidth="1"/>
    <col min="10928" max="10989" width="11.42578125" style="33"/>
    <col min="10990" max="11005" width="11.42578125" style="33" customWidth="1"/>
    <col min="11006" max="11182" width="11.42578125" style="33"/>
    <col min="11183" max="11183" width="11.42578125" style="33" customWidth="1"/>
    <col min="11184" max="11245" width="11.42578125" style="33"/>
    <col min="11246" max="11261" width="11.42578125" style="33" customWidth="1"/>
    <col min="11262" max="11438" width="11.42578125" style="33"/>
    <col min="11439" max="11439" width="11.42578125" style="33" customWidth="1"/>
    <col min="11440" max="11501" width="11.42578125" style="33"/>
    <col min="11502" max="11517" width="11.42578125" style="33" customWidth="1"/>
    <col min="11518" max="11694" width="11.42578125" style="33"/>
    <col min="11695" max="11695" width="11.42578125" style="33" customWidth="1"/>
    <col min="11696" max="11757" width="11.42578125" style="33"/>
    <col min="11758" max="11773" width="11.42578125" style="33" customWidth="1"/>
    <col min="11774" max="11950" width="11.42578125" style="33"/>
    <col min="11951" max="11951" width="11.42578125" style="33" customWidth="1"/>
    <col min="11952" max="12013" width="11.42578125" style="33"/>
    <col min="12014" max="12029" width="11.42578125" style="33" customWidth="1"/>
    <col min="12030" max="12206" width="11.42578125" style="33"/>
    <col min="12207" max="12207" width="11.42578125" style="33" customWidth="1"/>
    <col min="12208" max="12269" width="11.42578125" style="33"/>
    <col min="12270" max="12285" width="11.42578125" style="33" customWidth="1"/>
    <col min="12286" max="12462" width="11.42578125" style="33"/>
    <col min="12463" max="12463" width="11.42578125" style="33" customWidth="1"/>
    <col min="12464" max="12525" width="11.42578125" style="33"/>
    <col min="12526" max="12541" width="11.42578125" style="33" customWidth="1"/>
    <col min="12542" max="12718" width="11.42578125" style="33"/>
    <col min="12719" max="12719" width="11.42578125" style="33" customWidth="1"/>
    <col min="12720" max="12781" width="11.42578125" style="33"/>
    <col min="12782" max="12797" width="11.42578125" style="33" customWidth="1"/>
    <col min="12798" max="12974" width="11.42578125" style="33"/>
    <col min="12975" max="12975" width="11.42578125" style="33" customWidth="1"/>
    <col min="12976" max="13037" width="11.42578125" style="33"/>
    <col min="13038" max="13053" width="11.42578125" style="33" customWidth="1"/>
    <col min="13054" max="13230" width="11.42578125" style="33"/>
    <col min="13231" max="13231" width="11.42578125" style="33" customWidth="1"/>
    <col min="13232" max="13293" width="11.42578125" style="33"/>
    <col min="13294" max="13309" width="11.42578125" style="33" customWidth="1"/>
    <col min="13310" max="13486" width="11.42578125" style="33"/>
    <col min="13487" max="13487" width="11.42578125" style="33" customWidth="1"/>
    <col min="13488" max="13549" width="11.42578125" style="33"/>
    <col min="13550" max="13565" width="11.42578125" style="33" customWidth="1"/>
    <col min="13566" max="13742" width="11.42578125" style="33"/>
    <col min="13743" max="13743" width="11.42578125" style="33" customWidth="1"/>
    <col min="13744" max="13805" width="11.42578125" style="33"/>
    <col min="13806" max="13821" width="11.42578125" style="33" customWidth="1"/>
    <col min="13822" max="13998" width="11.42578125" style="33"/>
    <col min="13999" max="13999" width="11.42578125" style="33" customWidth="1"/>
    <col min="14000" max="14061" width="11.42578125" style="33"/>
    <col min="14062" max="14077" width="11.42578125" style="33" customWidth="1"/>
    <col min="14078" max="14254" width="11.42578125" style="33"/>
    <col min="14255" max="14255" width="11.42578125" style="33" customWidth="1"/>
    <col min="14256" max="14317" width="11.42578125" style="33"/>
    <col min="14318" max="14333" width="11.42578125" style="33" customWidth="1"/>
    <col min="14334" max="14510" width="11.42578125" style="33"/>
    <col min="14511" max="14511" width="11.42578125" style="33" customWidth="1"/>
    <col min="14512" max="14573" width="11.42578125" style="33"/>
    <col min="14574" max="14589" width="11.42578125" style="33" customWidth="1"/>
    <col min="14590" max="14766" width="11.42578125" style="33"/>
    <col min="14767" max="14767" width="11.42578125" style="33" customWidth="1"/>
    <col min="14768" max="14829" width="11.42578125" style="33"/>
    <col min="14830" max="14845" width="11.42578125" style="33" customWidth="1"/>
    <col min="14846" max="15022" width="11.42578125" style="33"/>
    <col min="15023" max="15023" width="11.42578125" style="33" customWidth="1"/>
    <col min="15024" max="15085" width="11.42578125" style="33"/>
    <col min="15086" max="15101" width="11.42578125" style="33" customWidth="1"/>
    <col min="15102" max="15278" width="11.42578125" style="33"/>
    <col min="15279" max="15279" width="11.42578125" style="33" customWidth="1"/>
    <col min="15280" max="15341" width="11.42578125" style="33"/>
    <col min="15342" max="15357" width="11.42578125" style="33" customWidth="1"/>
    <col min="15358" max="15534" width="11.42578125" style="33"/>
    <col min="15535" max="15535" width="11.42578125" style="33" customWidth="1"/>
    <col min="15536" max="15597" width="11.42578125" style="33"/>
    <col min="15598" max="15613" width="11.42578125" style="33" customWidth="1"/>
    <col min="15614" max="15790" width="11.42578125" style="33"/>
    <col min="15791" max="15791" width="11.42578125" style="33" customWidth="1"/>
    <col min="15792" max="15853" width="11.42578125" style="33"/>
    <col min="15854" max="15869" width="11.42578125" style="33" customWidth="1"/>
    <col min="15870" max="16046" width="11.42578125" style="33"/>
    <col min="16047" max="16047" width="11.42578125" style="33" customWidth="1"/>
    <col min="16048" max="16109" width="11.42578125" style="33"/>
    <col min="16110" max="16125" width="11.42578125" style="33" customWidth="1"/>
    <col min="16126" max="16302" width="11.42578125" style="33"/>
    <col min="16303" max="16303" width="11.42578125" style="33" customWidth="1"/>
    <col min="16304" max="16384" width="11.42578125" style="33"/>
  </cols>
  <sheetData>
    <row r="1" spans="1:20" ht="15" customHeight="1" x14ac:dyDescent="0.25">
      <c r="A1" s="9" t="s">
        <v>30</v>
      </c>
      <c r="B1" s="36"/>
      <c r="C1" s="5"/>
    </row>
    <row r="2" spans="1:20" ht="15" customHeight="1" x14ac:dyDescent="0.25">
      <c r="A2" s="37" t="s">
        <v>31</v>
      </c>
      <c r="B2" s="37"/>
      <c r="C2" s="5"/>
    </row>
    <row r="3" spans="1:20" ht="15" customHeight="1" x14ac:dyDescent="0.25">
      <c r="A3"/>
      <c r="B3"/>
      <c r="C3" s="5"/>
    </row>
    <row r="4" spans="1:20" ht="15" customHeight="1" x14ac:dyDescent="0.2">
      <c r="A4" s="17" t="s">
        <v>35</v>
      </c>
      <c r="B4" s="38"/>
    </row>
    <row r="5" spans="1:20" ht="15" customHeight="1" x14ac:dyDescent="0.2">
      <c r="A5" s="18" t="s">
        <v>41</v>
      </c>
      <c r="B5" s="39">
        <v>2022</v>
      </c>
      <c r="C5" s="39">
        <v>2023</v>
      </c>
      <c r="D5" s="39">
        <v>2024</v>
      </c>
      <c r="E5" s="39">
        <v>2025</v>
      </c>
      <c r="F5" s="39">
        <v>2026</v>
      </c>
      <c r="G5" s="39">
        <v>2027</v>
      </c>
      <c r="H5" s="39">
        <v>2028</v>
      </c>
      <c r="I5" s="39">
        <v>2029</v>
      </c>
      <c r="J5" s="39">
        <v>2030</v>
      </c>
      <c r="K5" s="39">
        <v>2031</v>
      </c>
      <c r="L5" s="39">
        <v>2032</v>
      </c>
      <c r="M5" s="39">
        <v>2033</v>
      </c>
      <c r="N5" s="39">
        <v>2034</v>
      </c>
      <c r="O5" s="39">
        <v>2035</v>
      </c>
      <c r="P5" s="39">
        <v>2036</v>
      </c>
      <c r="Q5" s="39">
        <v>2037</v>
      </c>
      <c r="R5" s="39">
        <v>2038</v>
      </c>
      <c r="S5" s="39">
        <v>2039</v>
      </c>
      <c r="T5" s="39">
        <v>2040</v>
      </c>
    </row>
    <row r="6" spans="1:20" ht="15" customHeight="1" x14ac:dyDescent="0.2">
      <c r="A6" s="40" t="s">
        <v>0</v>
      </c>
      <c r="B6" s="44">
        <v>102.84106512503486</v>
      </c>
      <c r="C6" s="44">
        <v>102.78651669172989</v>
      </c>
      <c r="D6" s="44">
        <v>102.71341317695344</v>
      </c>
      <c r="E6" s="44">
        <v>102.62796229478737</v>
      </c>
      <c r="F6" s="44">
        <v>102.54269251086924</v>
      </c>
      <c r="G6" s="44">
        <v>102.45795886554245</v>
      </c>
      <c r="H6" s="44">
        <v>102.37334778347542</v>
      </c>
      <c r="I6" s="44">
        <v>102.28847477889369</v>
      </c>
      <c r="J6" s="44">
        <v>102.202814142061</v>
      </c>
      <c r="K6" s="44">
        <v>102.11556510743729</v>
      </c>
      <c r="L6" s="44">
        <v>102.0268668761354</v>
      </c>
      <c r="M6" s="44">
        <v>101.93678878095251</v>
      </c>
      <c r="N6" s="44">
        <v>101.84513014319172</v>
      </c>
      <c r="O6" s="44">
        <v>101.75197288751964</v>
      </c>
      <c r="P6" s="44">
        <v>101.65695274420989</v>
      </c>
      <c r="Q6" s="44">
        <v>101.56051614664179</v>
      </c>
      <c r="R6" s="44">
        <v>101.46269867051647</v>
      </c>
      <c r="S6" s="44">
        <v>101.36399233105864</v>
      </c>
      <c r="T6" s="44">
        <v>101.26460933929282</v>
      </c>
    </row>
    <row r="7" spans="1:20" ht="15" customHeight="1" x14ac:dyDescent="0.2">
      <c r="A7" s="40" t="s">
        <v>22</v>
      </c>
      <c r="B7" s="44">
        <v>116.62362449551821</v>
      </c>
      <c r="C7" s="44">
        <v>116.49334302060311</v>
      </c>
      <c r="D7" s="44">
        <v>116.28778107061135</v>
      </c>
      <c r="E7" s="44">
        <v>116.06197987043328</v>
      </c>
      <c r="F7" s="44">
        <v>115.8429621682355</v>
      </c>
      <c r="G7" s="44">
        <v>115.63469362236916</v>
      </c>
      <c r="H7" s="44">
        <v>115.42482455518537</v>
      </c>
      <c r="I7" s="44">
        <v>115.21371898416358</v>
      </c>
      <c r="J7" s="44">
        <v>115.00006422543412</v>
      </c>
      <c r="K7" s="44">
        <v>114.78126420449462</v>
      </c>
      <c r="L7" s="44">
        <v>114.55506123497838</v>
      </c>
      <c r="M7" s="44">
        <v>114.321173828021</v>
      </c>
      <c r="N7" s="44">
        <v>114.07891730355189</v>
      </c>
      <c r="O7" s="44">
        <v>113.83237782528244</v>
      </c>
      <c r="P7" s="44">
        <v>113.58831628240615</v>
      </c>
      <c r="Q7" s="44">
        <v>113.34518219802234</v>
      </c>
      <c r="R7" s="44">
        <v>113.10588266017471</v>
      </c>
      <c r="S7" s="44">
        <v>112.8686182935229</v>
      </c>
      <c r="T7" s="44">
        <v>112.63382409444969</v>
      </c>
    </row>
    <row r="8" spans="1:20" ht="15" customHeight="1" x14ac:dyDescent="0.2">
      <c r="A8" s="40" t="s">
        <v>1</v>
      </c>
      <c r="B8" s="44">
        <v>99.819365988408165</v>
      </c>
      <c r="C8" s="44">
        <v>99.808932081540632</v>
      </c>
      <c r="D8" s="44">
        <v>99.797238053485316</v>
      </c>
      <c r="E8" s="44">
        <v>99.83795347990349</v>
      </c>
      <c r="F8" s="44">
        <v>99.869779259965057</v>
      </c>
      <c r="G8" s="44">
        <v>99.910883922916867</v>
      </c>
      <c r="H8" s="44">
        <v>99.944973659522262</v>
      </c>
      <c r="I8" s="44">
        <v>99.977062672873245</v>
      </c>
      <c r="J8" s="44">
        <v>100.00717569234219</v>
      </c>
      <c r="K8" s="44">
        <v>100.03801618147583</v>
      </c>
      <c r="L8" s="44">
        <v>100.06645733349986</v>
      </c>
      <c r="M8" s="44">
        <v>100.09607814355677</v>
      </c>
      <c r="N8" s="44">
        <v>100.12155681450163</v>
      </c>
      <c r="O8" s="44">
        <v>100.15089163237312</v>
      </c>
      <c r="P8" s="44">
        <v>100.17876532747158</v>
      </c>
      <c r="Q8" s="44">
        <v>100.20387135409328</v>
      </c>
      <c r="R8" s="44">
        <v>100.23196249939592</v>
      </c>
      <c r="S8" s="44">
        <v>100.25513782703233</v>
      </c>
      <c r="T8" s="44">
        <v>100.28132656632832</v>
      </c>
    </row>
    <row r="9" spans="1:20" ht="15" customHeight="1" x14ac:dyDescent="0.2">
      <c r="A9" s="40" t="s">
        <v>2</v>
      </c>
      <c r="B9" s="44">
        <v>102.35038014607669</v>
      </c>
      <c r="C9" s="44">
        <v>102.39372741426953</v>
      </c>
      <c r="D9" s="44">
        <v>102.4255347841478</v>
      </c>
      <c r="E9" s="44">
        <v>102.43605604337024</v>
      </c>
      <c r="F9" s="44">
        <v>102.44275725474895</v>
      </c>
      <c r="G9" s="44">
        <v>102.44698827747347</v>
      </c>
      <c r="H9" s="44">
        <v>102.45105074489969</v>
      </c>
      <c r="I9" s="44">
        <v>102.45046547354877</v>
      </c>
      <c r="J9" s="44">
        <v>102.45005961811738</v>
      </c>
      <c r="K9" s="44">
        <v>102.44708123828521</v>
      </c>
      <c r="L9" s="44">
        <v>102.44406435734086</v>
      </c>
      <c r="M9" s="44">
        <v>102.4368241224163</v>
      </c>
      <c r="N9" s="44">
        <v>102.42630701893667</v>
      </c>
      <c r="O9" s="44">
        <v>102.41530695191265</v>
      </c>
      <c r="P9" s="44">
        <v>102.40105469563794</v>
      </c>
      <c r="Q9" s="44">
        <v>102.38425573969896</v>
      </c>
      <c r="R9" s="44">
        <v>102.36148554319688</v>
      </c>
      <c r="S9" s="44">
        <v>102.33839375087408</v>
      </c>
      <c r="T9" s="44">
        <v>102.30884116462782</v>
      </c>
    </row>
    <row r="10" spans="1:20" ht="15" customHeight="1" x14ac:dyDescent="0.2">
      <c r="A10" s="40" t="s">
        <v>3</v>
      </c>
      <c r="B10" s="44">
        <v>99.543035805549707</v>
      </c>
      <c r="C10" s="44">
        <v>99.629369160981113</v>
      </c>
      <c r="D10" s="44">
        <v>99.719376643757968</v>
      </c>
      <c r="E10" s="44">
        <v>99.842739647856249</v>
      </c>
      <c r="F10" s="44">
        <v>99.96755117312442</v>
      </c>
      <c r="G10" s="44">
        <v>100.09088235196917</v>
      </c>
      <c r="H10" s="44">
        <v>100.20650115785791</v>
      </c>
      <c r="I10" s="44">
        <v>100.32205164681012</v>
      </c>
      <c r="J10" s="44">
        <v>100.43622903503639</v>
      </c>
      <c r="K10" s="44">
        <v>100.54278091537671</v>
      </c>
      <c r="L10" s="44">
        <v>100.64534938953879</v>
      </c>
      <c r="M10" s="44">
        <v>100.74099265547439</v>
      </c>
      <c r="N10" s="44">
        <v>100.83893712868056</v>
      </c>
      <c r="O10" s="44">
        <v>100.92308694873007</v>
      </c>
      <c r="P10" s="44">
        <v>101.01185210241465</v>
      </c>
      <c r="Q10" s="44">
        <v>101.08919376935712</v>
      </c>
      <c r="R10" s="44">
        <v>101.16302808571864</v>
      </c>
      <c r="S10" s="44">
        <v>101.23795845221228</v>
      </c>
      <c r="T10" s="44">
        <v>101.30138534569058</v>
      </c>
    </row>
    <row r="11" spans="1:20" ht="15" customHeight="1" x14ac:dyDescent="0.2">
      <c r="A11" s="40" t="s">
        <v>23</v>
      </c>
      <c r="B11" s="44">
        <v>103.50517549479079</v>
      </c>
      <c r="C11" s="44">
        <v>103.46507363397825</v>
      </c>
      <c r="D11" s="44">
        <v>103.43069557789728</v>
      </c>
      <c r="E11" s="44">
        <v>103.38583676672452</v>
      </c>
      <c r="F11" s="44">
        <v>103.33861108122096</v>
      </c>
      <c r="G11" s="44">
        <v>103.28926123194775</v>
      </c>
      <c r="H11" s="44">
        <v>103.23899141918498</v>
      </c>
      <c r="I11" s="44">
        <v>103.18755047492809</v>
      </c>
      <c r="J11" s="44">
        <v>103.13464559465146</v>
      </c>
      <c r="K11" s="44">
        <v>103.08012604835966</v>
      </c>
      <c r="L11" s="44">
        <v>103.02415929047368</v>
      </c>
      <c r="M11" s="44">
        <v>102.96649182698665</v>
      </c>
      <c r="N11" s="44">
        <v>102.90858614630389</v>
      </c>
      <c r="O11" s="44">
        <v>102.84885823123237</v>
      </c>
      <c r="P11" s="44">
        <v>102.78847405455357</v>
      </c>
      <c r="Q11" s="44">
        <v>102.7274033939981</v>
      </c>
      <c r="R11" s="44">
        <v>102.66573885510168</v>
      </c>
      <c r="S11" s="44">
        <v>102.60455490433988</v>
      </c>
      <c r="T11" s="44">
        <v>102.54296278572997</v>
      </c>
    </row>
    <row r="12" spans="1:20" ht="15" customHeight="1" x14ac:dyDescent="0.2">
      <c r="A12" s="40" t="s">
        <v>4</v>
      </c>
      <c r="B12" s="44">
        <v>101.33004842697008</v>
      </c>
      <c r="C12" s="44">
        <v>101.37321770104938</v>
      </c>
      <c r="D12" s="44">
        <v>101.39264444571342</v>
      </c>
      <c r="E12" s="44">
        <v>101.39330331154189</v>
      </c>
      <c r="F12" s="44">
        <v>101.38866435222609</v>
      </c>
      <c r="G12" s="44">
        <v>101.38114664239349</v>
      </c>
      <c r="H12" s="44">
        <v>101.37215816904299</v>
      </c>
      <c r="I12" s="44">
        <v>101.35957095709571</v>
      </c>
      <c r="J12" s="44">
        <v>101.34482752948801</v>
      </c>
      <c r="K12" s="44">
        <v>101.32821133332676</v>
      </c>
      <c r="L12" s="44">
        <v>101.31104352331097</v>
      </c>
      <c r="M12" s="44">
        <v>101.29254238558296</v>
      </c>
      <c r="N12" s="44">
        <v>101.27047077088977</v>
      </c>
      <c r="O12" s="44">
        <v>101.24790949256321</v>
      </c>
      <c r="P12" s="44">
        <v>101.22408266431664</v>
      </c>
      <c r="Q12" s="44">
        <v>101.20080590136075</v>
      </c>
      <c r="R12" s="44">
        <v>101.17261021300494</v>
      </c>
      <c r="S12" s="44">
        <v>101.14439141002399</v>
      </c>
      <c r="T12" s="44">
        <v>101.11569845659851</v>
      </c>
    </row>
    <row r="13" spans="1:20" ht="15" customHeight="1" x14ac:dyDescent="0.2">
      <c r="A13" s="40" t="s">
        <v>5</v>
      </c>
      <c r="B13" s="44">
        <v>102.94878919761857</v>
      </c>
      <c r="C13" s="44">
        <v>102.94302953087826</v>
      </c>
      <c r="D13" s="44">
        <v>102.94475945160877</v>
      </c>
      <c r="E13" s="44">
        <v>102.94321358534653</v>
      </c>
      <c r="F13" s="44">
        <v>102.93925783635535</v>
      </c>
      <c r="G13" s="44">
        <v>102.92859903502101</v>
      </c>
      <c r="H13" s="44">
        <v>102.91507134195328</v>
      </c>
      <c r="I13" s="44">
        <v>102.8987727732619</v>
      </c>
      <c r="J13" s="44">
        <v>102.8797211084012</v>
      </c>
      <c r="K13" s="44">
        <v>102.85810569172789</v>
      </c>
      <c r="L13" s="44">
        <v>102.83420543527062</v>
      </c>
      <c r="M13" s="44">
        <v>102.80934988041966</v>
      </c>
      <c r="N13" s="44">
        <v>102.78085971754992</v>
      </c>
      <c r="O13" s="44">
        <v>102.75203675026697</v>
      </c>
      <c r="P13" s="44">
        <v>102.72096047369411</v>
      </c>
      <c r="Q13" s="44">
        <v>102.68934683403768</v>
      </c>
      <c r="R13" s="44">
        <v>102.65703435686811</v>
      </c>
      <c r="S13" s="44">
        <v>102.62445340835905</v>
      </c>
      <c r="T13" s="44">
        <v>102.59182247924754</v>
      </c>
    </row>
    <row r="14" spans="1:20" ht="15" customHeight="1" x14ac:dyDescent="0.2">
      <c r="A14" s="40" t="s">
        <v>6</v>
      </c>
      <c r="B14" s="44">
        <v>105.00873886166828</v>
      </c>
      <c r="C14" s="44">
        <v>105.18882852471121</v>
      </c>
      <c r="D14" s="44">
        <v>105.2082443330069</v>
      </c>
      <c r="E14" s="44">
        <v>105.18622812331166</v>
      </c>
      <c r="F14" s="44">
        <v>105.15969073173915</v>
      </c>
      <c r="G14" s="44">
        <v>105.13799817324288</v>
      </c>
      <c r="H14" s="44">
        <v>105.10800919778475</v>
      </c>
      <c r="I14" s="44">
        <v>105.07527228721258</v>
      </c>
      <c r="J14" s="44">
        <v>105.04206545230008</v>
      </c>
      <c r="K14" s="44">
        <v>105.00886254876005</v>
      </c>
      <c r="L14" s="44">
        <v>104.96905918847858</v>
      </c>
      <c r="M14" s="44">
        <v>104.92912668664474</v>
      </c>
      <c r="N14" s="44">
        <v>104.88478560407393</v>
      </c>
      <c r="O14" s="44">
        <v>104.84104297838262</v>
      </c>
      <c r="P14" s="44">
        <v>104.79079339427302</v>
      </c>
      <c r="Q14" s="44">
        <v>104.73969006449909</v>
      </c>
      <c r="R14" s="44">
        <v>104.68410030674751</v>
      </c>
      <c r="S14" s="44">
        <v>104.62453997337717</v>
      </c>
      <c r="T14" s="44">
        <v>104.56743014472644</v>
      </c>
    </row>
    <row r="15" spans="1:20" ht="15" customHeight="1" x14ac:dyDescent="0.2">
      <c r="A15" s="40" t="s">
        <v>7</v>
      </c>
      <c r="B15" s="44">
        <v>102.1152458299875</v>
      </c>
      <c r="C15" s="44">
        <v>102.15071766693558</v>
      </c>
      <c r="D15" s="44">
        <v>102.17778171554419</v>
      </c>
      <c r="E15" s="44">
        <v>102.20910206617204</v>
      </c>
      <c r="F15" s="44">
        <v>102.23003571482543</v>
      </c>
      <c r="G15" s="44">
        <v>102.24624829810645</v>
      </c>
      <c r="H15" s="44">
        <v>102.26114537974715</v>
      </c>
      <c r="I15" s="44">
        <v>102.27120524558704</v>
      </c>
      <c r="J15" s="44">
        <v>102.27797245497641</v>
      </c>
      <c r="K15" s="44">
        <v>102.28385640638126</v>
      </c>
      <c r="L15" s="44">
        <v>102.28585452436081</v>
      </c>
      <c r="M15" s="44">
        <v>102.28384104584987</v>
      </c>
      <c r="N15" s="44">
        <v>102.28188349696488</v>
      </c>
      <c r="O15" s="44">
        <v>102.27424173500374</v>
      </c>
      <c r="P15" s="44">
        <v>102.26890941773976</v>
      </c>
      <c r="Q15" s="44">
        <v>102.25831857627847</v>
      </c>
      <c r="R15" s="44">
        <v>102.24552980011272</v>
      </c>
      <c r="S15" s="44">
        <v>102.23353688365991</v>
      </c>
      <c r="T15" s="44">
        <v>102.21658847412847</v>
      </c>
    </row>
    <row r="16" spans="1:20" ht="15" customHeight="1" x14ac:dyDescent="0.2">
      <c r="A16" s="40" t="s">
        <v>8</v>
      </c>
      <c r="B16" s="44">
        <v>101.02561897287592</v>
      </c>
      <c r="C16" s="44">
        <v>101.01918272375376</v>
      </c>
      <c r="D16" s="44">
        <v>101.04675916516008</v>
      </c>
      <c r="E16" s="44">
        <v>101.07583689544211</v>
      </c>
      <c r="F16" s="44">
        <v>101.11028867505551</v>
      </c>
      <c r="G16" s="44">
        <v>101.1239059851315</v>
      </c>
      <c r="H16" s="44">
        <v>101.15305261929639</v>
      </c>
      <c r="I16" s="44">
        <v>101.1694884745296</v>
      </c>
      <c r="J16" s="44">
        <v>101.18433569390129</v>
      </c>
      <c r="K16" s="44">
        <v>101.19283769810285</v>
      </c>
      <c r="L16" s="44">
        <v>101.19869597046447</v>
      </c>
      <c r="M16" s="44">
        <v>101.20991276639377</v>
      </c>
      <c r="N16" s="44">
        <v>101.20638153784773</v>
      </c>
      <c r="O16" s="44">
        <v>101.21134290806164</v>
      </c>
      <c r="P16" s="44">
        <v>101.21008473733519</v>
      </c>
      <c r="Q16" s="44">
        <v>101.20206755619665</v>
      </c>
      <c r="R16" s="44">
        <v>101.19472005762216</v>
      </c>
      <c r="S16" s="44">
        <v>101.18701941874104</v>
      </c>
      <c r="T16" s="44">
        <v>101.17793481260837</v>
      </c>
    </row>
    <row r="17" spans="1:20" ht="15" customHeight="1" x14ac:dyDescent="0.2">
      <c r="A17" s="40" t="s">
        <v>9</v>
      </c>
      <c r="B17" s="44">
        <v>100.64748056551336</v>
      </c>
      <c r="C17" s="44">
        <v>100.71185267308454</v>
      </c>
      <c r="D17" s="44">
        <v>100.77493429796249</v>
      </c>
      <c r="E17" s="44">
        <v>100.83953320560353</v>
      </c>
      <c r="F17" s="44">
        <v>100.89580947565153</v>
      </c>
      <c r="G17" s="44">
        <v>100.95681253488635</v>
      </c>
      <c r="H17" s="44">
        <v>101.00366221032114</v>
      </c>
      <c r="I17" s="44">
        <v>101.06117322683987</v>
      </c>
      <c r="J17" s="44">
        <v>101.10416187854219</v>
      </c>
      <c r="K17" s="44">
        <v>101.14546420546216</v>
      </c>
      <c r="L17" s="44">
        <v>101.18409608815855</v>
      </c>
      <c r="M17" s="44">
        <v>101.22792400918399</v>
      </c>
      <c r="N17" s="44">
        <v>101.2594653067532</v>
      </c>
      <c r="O17" s="44">
        <v>101.2933670398459</v>
      </c>
      <c r="P17" s="44">
        <v>101.32180376039486</v>
      </c>
      <c r="Q17" s="44">
        <v>101.35363547128253</v>
      </c>
      <c r="R17" s="44">
        <v>101.37966274910578</v>
      </c>
      <c r="S17" s="44">
        <v>101.40337839769057</v>
      </c>
      <c r="T17" s="44">
        <v>101.42430103745383</v>
      </c>
    </row>
    <row r="18" spans="1:20" ht="15" customHeight="1" x14ac:dyDescent="0.2">
      <c r="A18" s="40" t="s">
        <v>10</v>
      </c>
      <c r="B18" s="44">
        <v>103.55350433786479</v>
      </c>
      <c r="C18" s="44">
        <v>103.52090725999807</v>
      </c>
      <c r="D18" s="44">
        <v>103.47713543581511</v>
      </c>
      <c r="E18" s="44">
        <v>103.43483307297568</v>
      </c>
      <c r="F18" s="44">
        <v>103.38776072564571</v>
      </c>
      <c r="G18" s="44">
        <v>103.33381456021138</v>
      </c>
      <c r="H18" s="44">
        <v>103.28028808208367</v>
      </c>
      <c r="I18" s="44">
        <v>103.22567942847974</v>
      </c>
      <c r="J18" s="44">
        <v>103.16805463057371</v>
      </c>
      <c r="K18" s="44">
        <v>103.10945627149475</v>
      </c>
      <c r="L18" s="44">
        <v>103.0485151506558</v>
      </c>
      <c r="M18" s="44">
        <v>102.98602256175312</v>
      </c>
      <c r="N18" s="44">
        <v>102.92282116967351</v>
      </c>
      <c r="O18" s="44">
        <v>102.85693479558992</v>
      </c>
      <c r="P18" s="44">
        <v>102.79021564895663</v>
      </c>
      <c r="Q18" s="44">
        <v>102.7217693239632</v>
      </c>
      <c r="R18" s="44">
        <v>102.65344473676603</v>
      </c>
      <c r="S18" s="44">
        <v>102.58304463012024</v>
      </c>
      <c r="T18" s="44">
        <v>102.51357086624367</v>
      </c>
    </row>
    <row r="19" spans="1:20" ht="15" customHeight="1" x14ac:dyDescent="0.2">
      <c r="A19" s="40" t="s">
        <v>11</v>
      </c>
      <c r="B19" s="44">
        <v>101.4015188103419</v>
      </c>
      <c r="C19" s="44">
        <v>101.50313298667911</v>
      </c>
      <c r="D19" s="44">
        <v>101.54342536760817</v>
      </c>
      <c r="E19" s="44">
        <v>101.53871062525862</v>
      </c>
      <c r="F19" s="44">
        <v>101.53205704053161</v>
      </c>
      <c r="G19" s="44">
        <v>101.52642352312657</v>
      </c>
      <c r="H19" s="44">
        <v>101.51718420921587</v>
      </c>
      <c r="I19" s="44">
        <v>101.50923261896421</v>
      </c>
      <c r="J19" s="44">
        <v>101.50040130032856</v>
      </c>
      <c r="K19" s="44">
        <v>101.49088339141568</v>
      </c>
      <c r="L19" s="44">
        <v>101.47997744579303</v>
      </c>
      <c r="M19" s="44">
        <v>101.46755950865401</v>
      </c>
      <c r="N19" s="44">
        <v>101.45465891410765</v>
      </c>
      <c r="O19" s="44">
        <v>101.43902677486487</v>
      </c>
      <c r="P19" s="44">
        <v>101.42264967113026</v>
      </c>
      <c r="Q19" s="44">
        <v>101.40291125475412</v>
      </c>
      <c r="R19" s="44">
        <v>101.38141104799539</v>
      </c>
      <c r="S19" s="44">
        <v>101.35752471762012</v>
      </c>
      <c r="T19" s="44">
        <v>101.33102425213865</v>
      </c>
    </row>
    <row r="20" spans="1:20" ht="15" customHeight="1" x14ac:dyDescent="0.2">
      <c r="A20" s="40" t="s">
        <v>12</v>
      </c>
      <c r="B20" s="44">
        <v>101.89053968551542</v>
      </c>
      <c r="C20" s="44">
        <v>101.95072406407152</v>
      </c>
      <c r="D20" s="44">
        <v>102.0447188222327</v>
      </c>
      <c r="E20" s="44">
        <v>102.12531599336234</v>
      </c>
      <c r="F20" s="44">
        <v>102.20480366952538</v>
      </c>
      <c r="G20" s="44">
        <v>102.28705189028067</v>
      </c>
      <c r="H20" s="44">
        <v>102.36710164446508</v>
      </c>
      <c r="I20" s="44">
        <v>102.43927843525849</v>
      </c>
      <c r="J20" s="44">
        <v>102.51123965321642</v>
      </c>
      <c r="K20" s="44">
        <v>102.58006968641115</v>
      </c>
      <c r="L20" s="44">
        <v>102.6442007617473</v>
      </c>
      <c r="M20" s="44">
        <v>102.70390401334006</v>
      </c>
      <c r="N20" s="44">
        <v>102.75738324741985</v>
      </c>
      <c r="O20" s="44">
        <v>102.80821131051685</v>
      </c>
      <c r="P20" s="44">
        <v>102.85508950738273</v>
      </c>
      <c r="Q20" s="44">
        <v>102.89535009755039</v>
      </c>
      <c r="R20" s="44">
        <v>102.93293339195783</v>
      </c>
      <c r="S20" s="44">
        <v>102.96307833601426</v>
      </c>
      <c r="T20" s="44">
        <v>102.98978361367568</v>
      </c>
    </row>
    <row r="21" spans="1:20" ht="15" customHeight="1" x14ac:dyDescent="0.2">
      <c r="A21" s="40" t="s">
        <v>13</v>
      </c>
      <c r="B21" s="44">
        <v>101.88601235672235</v>
      </c>
      <c r="C21" s="44">
        <v>101.94724381945433</v>
      </c>
      <c r="D21" s="44">
        <v>101.99500027032525</v>
      </c>
      <c r="E21" s="44">
        <v>102.02936716124273</v>
      </c>
      <c r="F21" s="44">
        <v>102.06581651123541</v>
      </c>
      <c r="G21" s="44">
        <v>102.09818426361804</v>
      </c>
      <c r="H21" s="44">
        <v>102.12983128098108</v>
      </c>
      <c r="I21" s="44">
        <v>102.15692144368332</v>
      </c>
      <c r="J21" s="44">
        <v>102.18399356676362</v>
      </c>
      <c r="K21" s="44">
        <v>102.20464229759803</v>
      </c>
      <c r="L21" s="44">
        <v>102.22472892793608</v>
      </c>
      <c r="M21" s="44">
        <v>102.23801557999346</v>
      </c>
      <c r="N21" s="44">
        <v>102.25054470526761</v>
      </c>
      <c r="O21" s="44">
        <v>102.25911859513363</v>
      </c>
      <c r="P21" s="44">
        <v>102.25886599400376</v>
      </c>
      <c r="Q21" s="44">
        <v>102.26217447440864</v>
      </c>
      <c r="R21" s="44">
        <v>102.25779598533148</v>
      </c>
      <c r="S21" s="44">
        <v>102.25103012013233</v>
      </c>
      <c r="T21" s="44">
        <v>102.23900377343942</v>
      </c>
    </row>
    <row r="22" spans="1:20" ht="15" customHeight="1" x14ac:dyDescent="0.2">
      <c r="A22" s="40" t="s">
        <v>14</v>
      </c>
      <c r="B22" s="44">
        <v>101.49344737091465</v>
      </c>
      <c r="C22" s="44">
        <v>101.48226828194676</v>
      </c>
      <c r="D22" s="44">
        <v>101.47328822961792</v>
      </c>
      <c r="E22" s="44">
        <v>101.47311553974932</v>
      </c>
      <c r="F22" s="44">
        <v>101.47174972289091</v>
      </c>
      <c r="G22" s="44">
        <v>101.46644174321059</v>
      </c>
      <c r="H22" s="44">
        <v>101.45789321294141</v>
      </c>
      <c r="I22" s="44">
        <v>101.44881851901818</v>
      </c>
      <c r="J22" s="44">
        <v>101.43472977703128</v>
      </c>
      <c r="K22" s="44">
        <v>101.41918834944761</v>
      </c>
      <c r="L22" s="44">
        <v>101.40174011851832</v>
      </c>
      <c r="M22" s="44">
        <v>101.38242538575868</v>
      </c>
      <c r="N22" s="44">
        <v>101.36086276731935</v>
      </c>
      <c r="O22" s="44">
        <v>101.33750503165369</v>
      </c>
      <c r="P22" s="44">
        <v>101.31131914538973</v>
      </c>
      <c r="Q22" s="44">
        <v>101.28485603435971</v>
      </c>
      <c r="R22" s="44">
        <v>101.25723950393154</v>
      </c>
      <c r="S22" s="44">
        <v>101.22617717519191</v>
      </c>
      <c r="T22" s="44">
        <v>101.19547346246725</v>
      </c>
    </row>
    <row r="23" spans="1:20" ht="15" customHeight="1" x14ac:dyDescent="0.2">
      <c r="A23" s="40" t="s">
        <v>15</v>
      </c>
      <c r="B23" s="44">
        <v>102.28100778939637</v>
      </c>
      <c r="C23" s="44">
        <v>102.26198319683365</v>
      </c>
      <c r="D23" s="44">
        <v>102.19974497790685</v>
      </c>
      <c r="E23" s="44">
        <v>102.1533868525555</v>
      </c>
      <c r="F23" s="44">
        <v>102.10675255789481</v>
      </c>
      <c r="G23" s="44">
        <v>102.05405252313552</v>
      </c>
      <c r="H23" s="44">
        <v>102.00031027139345</v>
      </c>
      <c r="I23" s="44">
        <v>101.94485215799465</v>
      </c>
      <c r="J23" s="44">
        <v>101.88443031128187</v>
      </c>
      <c r="K23" s="44">
        <v>101.82561149742864</v>
      </c>
      <c r="L23" s="44">
        <v>101.76559403822986</v>
      </c>
      <c r="M23" s="44">
        <v>101.70370813837822</v>
      </c>
      <c r="N23" s="44">
        <v>101.64166372379506</v>
      </c>
      <c r="O23" s="44">
        <v>101.57483911337654</v>
      </c>
      <c r="P23" s="44">
        <v>101.50993088296501</v>
      </c>
      <c r="Q23" s="44">
        <v>101.44513580425884</v>
      </c>
      <c r="R23" s="44">
        <v>101.37729859969002</v>
      </c>
      <c r="S23" s="44">
        <v>101.31010058336554</v>
      </c>
      <c r="T23" s="44">
        <v>101.24245015648157</v>
      </c>
    </row>
    <row r="24" spans="1:20" ht="15" customHeight="1" x14ac:dyDescent="0.2">
      <c r="A24" s="40" t="s">
        <v>16</v>
      </c>
      <c r="B24" s="44">
        <v>101.09787477365863</v>
      </c>
      <c r="C24" s="44">
        <v>101.0964239303805</v>
      </c>
      <c r="D24" s="44">
        <v>101.12160455428001</v>
      </c>
      <c r="E24" s="44">
        <v>101.15740740740742</v>
      </c>
      <c r="F24" s="44">
        <v>101.19405437091855</v>
      </c>
      <c r="G24" s="44">
        <v>101.22857610036715</v>
      </c>
      <c r="H24" s="44">
        <v>101.26213771801653</v>
      </c>
      <c r="I24" s="44">
        <v>101.29249396099689</v>
      </c>
      <c r="J24" s="44">
        <v>101.32230617235072</v>
      </c>
      <c r="K24" s="44">
        <v>101.3478102189781</v>
      </c>
      <c r="L24" s="44">
        <v>101.37165488799667</v>
      </c>
      <c r="M24" s="44">
        <v>101.39495342317085</v>
      </c>
      <c r="N24" s="44">
        <v>101.41263083583661</v>
      </c>
      <c r="O24" s="44">
        <v>101.4280693449243</v>
      </c>
      <c r="P24" s="44">
        <v>101.44778992403924</v>
      </c>
      <c r="Q24" s="44">
        <v>101.4566714914168</v>
      </c>
      <c r="R24" s="44">
        <v>101.46740574140649</v>
      </c>
      <c r="S24" s="44">
        <v>101.47612932360536</v>
      </c>
      <c r="T24" s="44">
        <v>101.48323626688412</v>
      </c>
    </row>
    <row r="25" spans="1:20" ht="15" customHeight="1" x14ac:dyDescent="0.2">
      <c r="A25" s="40" t="s">
        <v>17</v>
      </c>
      <c r="B25" s="44">
        <v>95.601843727699205</v>
      </c>
      <c r="C25" s="44">
        <v>95.865949262592139</v>
      </c>
      <c r="D25" s="44">
        <v>95.912634314207452</v>
      </c>
      <c r="E25" s="44">
        <v>95.982095839915743</v>
      </c>
      <c r="F25" s="44">
        <v>96.063471260063665</v>
      </c>
      <c r="G25" s="44">
        <v>96.144820846524311</v>
      </c>
      <c r="H25" s="44">
        <v>96.227166043323791</v>
      </c>
      <c r="I25" s="44">
        <v>96.310347654008737</v>
      </c>
      <c r="J25" s="44">
        <v>96.391568417291893</v>
      </c>
      <c r="K25" s="44">
        <v>96.469016749761266</v>
      </c>
      <c r="L25" s="44">
        <v>96.549319299314902</v>
      </c>
      <c r="M25" s="44">
        <v>96.62285741083781</v>
      </c>
      <c r="N25" s="44">
        <v>96.695828593542942</v>
      </c>
      <c r="O25" s="44">
        <v>96.771412485044692</v>
      </c>
      <c r="P25" s="44">
        <v>96.837295512267801</v>
      </c>
      <c r="Q25" s="44">
        <v>96.905299586473888</v>
      </c>
      <c r="R25" s="44">
        <v>96.979082344936003</v>
      </c>
      <c r="S25" s="44">
        <v>97.040760662353435</v>
      </c>
      <c r="T25" s="44">
        <v>97.101194246967452</v>
      </c>
    </row>
    <row r="26" spans="1:20" ht="15" customHeight="1" x14ac:dyDescent="0.2">
      <c r="A26" s="40" t="s">
        <v>18</v>
      </c>
      <c r="B26" s="44">
        <v>104.50008357942832</v>
      </c>
      <c r="C26" s="44">
        <v>104.44692358197661</v>
      </c>
      <c r="D26" s="44">
        <v>104.37709259518462</v>
      </c>
      <c r="E26" s="44">
        <v>104.29642904074863</v>
      </c>
      <c r="F26" s="44">
        <v>104.21616109273064</v>
      </c>
      <c r="G26" s="44">
        <v>104.13506085069891</v>
      </c>
      <c r="H26" s="44">
        <v>104.05478689505954</v>
      </c>
      <c r="I26" s="44">
        <v>103.97423649385091</v>
      </c>
      <c r="J26" s="44">
        <v>103.89390721288805</v>
      </c>
      <c r="K26" s="44">
        <v>103.81419384663646</v>
      </c>
      <c r="L26" s="44">
        <v>103.73418299079869</v>
      </c>
      <c r="M26" s="44">
        <v>103.65379873932714</v>
      </c>
      <c r="N26" s="44">
        <v>103.57467078504199</v>
      </c>
      <c r="O26" s="44">
        <v>103.4954903615382</v>
      </c>
      <c r="P26" s="44">
        <v>103.41650537304805</v>
      </c>
      <c r="Q26" s="44">
        <v>103.33760762044331</v>
      </c>
      <c r="R26" s="44">
        <v>103.25907514135095</v>
      </c>
      <c r="S26" s="44">
        <v>103.1818950884451</v>
      </c>
      <c r="T26" s="44">
        <v>103.10460439061846</v>
      </c>
    </row>
    <row r="27" spans="1:20" ht="15" customHeight="1" x14ac:dyDescent="0.2">
      <c r="A27" s="40" t="s">
        <v>19</v>
      </c>
      <c r="B27" s="44">
        <v>99.277072601585402</v>
      </c>
      <c r="C27" s="44">
        <v>99.329245248978765</v>
      </c>
      <c r="D27" s="44">
        <v>99.424675895074827</v>
      </c>
      <c r="E27" s="44">
        <v>99.54832386991275</v>
      </c>
      <c r="F27" s="44">
        <v>99.657732937506594</v>
      </c>
      <c r="G27" s="44">
        <v>99.758688347127944</v>
      </c>
      <c r="H27" s="44">
        <v>99.849417641951533</v>
      </c>
      <c r="I27" s="44">
        <v>99.933013369259129</v>
      </c>
      <c r="J27" s="44">
        <v>100.01157508966028</v>
      </c>
      <c r="K27" s="44">
        <v>100.08362792464919</v>
      </c>
      <c r="L27" s="44">
        <v>100.14826457981482</v>
      </c>
      <c r="M27" s="44">
        <v>100.21109010712036</v>
      </c>
      <c r="N27" s="44">
        <v>100.26710981633195</v>
      </c>
      <c r="O27" s="44">
        <v>100.32116874449201</v>
      </c>
      <c r="P27" s="44">
        <v>100.36941147915373</v>
      </c>
      <c r="Q27" s="44">
        <v>100.41629377503266</v>
      </c>
      <c r="R27" s="44">
        <v>100.45817778761401</v>
      </c>
      <c r="S27" s="44">
        <v>100.49731185247752</v>
      </c>
      <c r="T27" s="44">
        <v>100.53465523108645</v>
      </c>
    </row>
    <row r="28" spans="1:20" ht="15" customHeight="1" x14ac:dyDescent="0.2">
      <c r="A28" s="40" t="s">
        <v>20</v>
      </c>
      <c r="B28" s="44">
        <v>98.228965517241392</v>
      </c>
      <c r="C28" s="44">
        <v>98.440436545880189</v>
      </c>
      <c r="D28" s="44">
        <v>98.720605163624413</v>
      </c>
      <c r="E28" s="44">
        <v>99.016959902024041</v>
      </c>
      <c r="F28" s="44">
        <v>99.291143657916834</v>
      </c>
      <c r="G28" s="44">
        <v>99.558441275952447</v>
      </c>
      <c r="H28" s="44">
        <v>99.826460443827415</v>
      </c>
      <c r="I28" s="44">
        <v>100.08003807216406</v>
      </c>
      <c r="J28" s="44">
        <v>100.34515116542448</v>
      </c>
      <c r="K28" s="44">
        <v>100.59474516299029</v>
      </c>
      <c r="L28" s="44">
        <v>100.83952523400559</v>
      </c>
      <c r="M28" s="44">
        <v>101.06543274522586</v>
      </c>
      <c r="N28" s="44">
        <v>101.30980651069675</v>
      </c>
      <c r="O28" s="44">
        <v>101.5330914337853</v>
      </c>
      <c r="P28" s="44">
        <v>101.75696389872616</v>
      </c>
      <c r="Q28" s="44">
        <v>101.96346935765901</v>
      </c>
      <c r="R28" s="44">
        <v>102.17701641684511</v>
      </c>
      <c r="S28" s="44">
        <v>102.36623254354306</v>
      </c>
      <c r="T28" s="44">
        <v>102.57043942522263</v>
      </c>
    </row>
    <row r="29" spans="1:20" ht="15" customHeight="1" x14ac:dyDescent="0.2">
      <c r="A29" s="40" t="s">
        <v>21</v>
      </c>
      <c r="B29" s="44">
        <v>102.61536121392585</v>
      </c>
      <c r="C29" s="44">
        <v>102.62037788232374</v>
      </c>
      <c r="D29" s="44">
        <v>102.6322966249493</v>
      </c>
      <c r="E29" s="44">
        <v>102.65492489424864</v>
      </c>
      <c r="F29" s="44">
        <v>102.67277482436197</v>
      </c>
      <c r="G29" s="44">
        <v>102.687474140322</v>
      </c>
      <c r="H29" s="44">
        <v>102.70080558100716</v>
      </c>
      <c r="I29" s="44">
        <v>102.71328266246094</v>
      </c>
      <c r="J29" s="44">
        <v>102.72357333544042</v>
      </c>
      <c r="K29" s="44">
        <v>102.7304127095672</v>
      </c>
      <c r="L29" s="44">
        <v>102.73603221399294</v>
      </c>
      <c r="M29" s="44">
        <v>102.73807695713433</v>
      </c>
      <c r="N29" s="44">
        <v>102.73773008707553</v>
      </c>
      <c r="O29" s="44">
        <v>102.73556332725356</v>
      </c>
      <c r="P29" s="44">
        <v>102.72789290527496</v>
      </c>
      <c r="Q29" s="44">
        <v>102.71862704171811</v>
      </c>
      <c r="R29" s="44">
        <v>102.70636084515903</v>
      </c>
      <c r="S29" s="44">
        <v>102.68943278462437</v>
      </c>
      <c r="T29" s="44">
        <v>102.66946587527276</v>
      </c>
    </row>
    <row r="30" spans="1:20" ht="15" customHeight="1" x14ac:dyDescent="0.2">
      <c r="A30" s="41" t="s">
        <v>37</v>
      </c>
      <c r="B30" s="45">
        <v>103.48739093095847</v>
      </c>
      <c r="C30" s="45">
        <v>103.45892564864376</v>
      </c>
      <c r="D30" s="45">
        <v>103.41284469930474</v>
      </c>
      <c r="E30" s="45">
        <v>103.35917414614053</v>
      </c>
      <c r="F30" s="45">
        <v>103.30480708599474</v>
      </c>
      <c r="G30" s="45">
        <v>103.25005247197367</v>
      </c>
      <c r="H30" s="45">
        <v>103.19456355585068</v>
      </c>
      <c r="I30" s="45">
        <v>103.1380713533099</v>
      </c>
      <c r="J30" s="45">
        <v>103.08032280396573</v>
      </c>
      <c r="K30" s="45">
        <v>103.02084501540104</v>
      </c>
      <c r="L30" s="45">
        <v>102.95969945848972</v>
      </c>
      <c r="M30" s="45">
        <v>102.89689435798495</v>
      </c>
      <c r="N30" s="45">
        <v>102.83247154793015</v>
      </c>
      <c r="O30" s="45">
        <v>102.76650417793437</v>
      </c>
      <c r="P30" s="45">
        <v>102.69908218734334</v>
      </c>
      <c r="Q30" s="45">
        <v>102.63037827276931</v>
      </c>
      <c r="R30" s="45">
        <v>102.56055981040038</v>
      </c>
      <c r="S30" s="45">
        <v>102.48983519476099</v>
      </c>
      <c r="T30" s="45">
        <v>102.41840712175012</v>
      </c>
    </row>
    <row r="32" spans="1:20" ht="14.25" customHeight="1" x14ac:dyDescent="0.2">
      <c r="A32" s="50" t="s">
        <v>57</v>
      </c>
      <c r="B32" s="43"/>
    </row>
    <row r="33" spans="1:5" customFormat="1" ht="15" customHeight="1" x14ac:dyDescent="0.25">
      <c r="A33" s="53" t="s">
        <v>48</v>
      </c>
      <c r="B33" s="48"/>
      <c r="C33" s="48"/>
      <c r="D33" s="48"/>
      <c r="E33" s="48"/>
    </row>
    <row r="34" spans="1:5" customFormat="1" x14ac:dyDescent="0.25">
      <c r="A34" s="52" t="s">
        <v>49</v>
      </c>
      <c r="B34" s="48"/>
      <c r="C34" s="48"/>
      <c r="D34" s="48"/>
      <c r="E34" s="48"/>
    </row>
    <row r="35" spans="1:5" customFormat="1" x14ac:dyDescent="0.25">
      <c r="A35" s="52"/>
      <c r="B35" s="48"/>
      <c r="C35" s="48"/>
      <c r="D35" s="48"/>
      <c r="E35" s="48"/>
    </row>
    <row r="36" spans="1:5" s="42" customFormat="1" ht="15" customHeight="1" x14ac:dyDescent="0.2">
      <c r="A36" s="50" t="s">
        <v>39</v>
      </c>
    </row>
    <row r="37" spans="1:5" s="42" customFormat="1" ht="15" customHeight="1" x14ac:dyDescent="0.2">
      <c r="A37" s="35"/>
    </row>
    <row r="38" spans="1:5" ht="15" customHeight="1" x14ac:dyDescent="0.2">
      <c r="A38" s="34"/>
    </row>
    <row r="39" spans="1:5" ht="15" customHeight="1" x14ac:dyDescent="0.2">
      <c r="A39" s="34"/>
    </row>
    <row r="40" spans="1:5" ht="15" customHeight="1" x14ac:dyDescent="0.2">
      <c r="A40" s="35"/>
    </row>
  </sheetData>
  <hyperlinks>
    <hyperlink ref="A2" r:id="rId1" xr:uid="{00000000-0004-0000-0100-000000000000}"/>
    <hyperlink ref="A34" r:id="rId2" xr:uid="{7D40664E-9927-4654-B503-BCC2A33F614A}"/>
  </hyperlinks>
  <pageMargins left="0.43307086614173229" right="0.43307086614173229" top="0.55118110236220474" bottom="0.55118110236220474" header="0.31496062992125984" footer="0.31496062992125984"/>
  <pageSetup paperSize="9" orientation="landscape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8"/>
  <sheetViews>
    <sheetView showGridLines="0" workbookViewId="0">
      <selection activeCell="F28" sqref="F28"/>
    </sheetView>
  </sheetViews>
  <sheetFormatPr baseColWidth="10" defaultRowHeight="15" x14ac:dyDescent="0.25"/>
  <cols>
    <col min="1" max="1" width="21.7109375" customWidth="1"/>
    <col min="2" max="6" width="11.42578125" customWidth="1"/>
    <col min="178" max="178" width="20" bestFit="1" customWidth="1"/>
    <col min="434" max="434" width="20" bestFit="1" customWidth="1"/>
    <col min="690" max="690" width="20" bestFit="1" customWidth="1"/>
    <col min="946" max="946" width="20" bestFit="1" customWidth="1"/>
    <col min="1202" max="1202" width="20" bestFit="1" customWidth="1"/>
    <col min="1458" max="1458" width="20" bestFit="1" customWidth="1"/>
    <col min="1714" max="1714" width="20" bestFit="1" customWidth="1"/>
    <col min="1970" max="1970" width="20" bestFit="1" customWidth="1"/>
    <col min="2226" max="2226" width="20" bestFit="1" customWidth="1"/>
    <col min="2482" max="2482" width="20" bestFit="1" customWidth="1"/>
    <col min="2738" max="2738" width="20" bestFit="1" customWidth="1"/>
    <col min="2994" max="2994" width="20" bestFit="1" customWidth="1"/>
    <col min="3250" max="3250" width="20" bestFit="1" customWidth="1"/>
    <col min="3506" max="3506" width="20" bestFit="1" customWidth="1"/>
    <col min="3762" max="3762" width="20" bestFit="1" customWidth="1"/>
    <col min="4018" max="4018" width="20" bestFit="1" customWidth="1"/>
    <col min="4274" max="4274" width="20" bestFit="1" customWidth="1"/>
    <col min="4530" max="4530" width="20" bestFit="1" customWidth="1"/>
    <col min="4786" max="4786" width="20" bestFit="1" customWidth="1"/>
    <col min="5042" max="5042" width="20" bestFit="1" customWidth="1"/>
    <col min="5298" max="5298" width="20" bestFit="1" customWidth="1"/>
    <col min="5554" max="5554" width="20" bestFit="1" customWidth="1"/>
    <col min="5810" max="5810" width="20" bestFit="1" customWidth="1"/>
    <col min="6066" max="6066" width="20" bestFit="1" customWidth="1"/>
    <col min="6322" max="6322" width="20" bestFit="1" customWidth="1"/>
    <col min="6578" max="6578" width="20" bestFit="1" customWidth="1"/>
    <col min="6834" max="6834" width="20" bestFit="1" customWidth="1"/>
    <col min="7090" max="7090" width="20" bestFit="1" customWidth="1"/>
    <col min="7346" max="7346" width="20" bestFit="1" customWidth="1"/>
    <col min="7602" max="7602" width="20" bestFit="1" customWidth="1"/>
    <col min="7858" max="7858" width="20" bestFit="1" customWidth="1"/>
    <col min="8114" max="8114" width="20" bestFit="1" customWidth="1"/>
    <col min="8370" max="8370" width="20" bestFit="1" customWidth="1"/>
    <col min="8626" max="8626" width="20" bestFit="1" customWidth="1"/>
    <col min="8882" max="8882" width="20" bestFit="1" customWidth="1"/>
    <col min="9138" max="9138" width="20" bestFit="1" customWidth="1"/>
    <col min="9394" max="9394" width="20" bestFit="1" customWidth="1"/>
    <col min="9650" max="9650" width="20" bestFit="1" customWidth="1"/>
    <col min="9906" max="9906" width="20" bestFit="1" customWidth="1"/>
    <col min="10162" max="10162" width="20" bestFit="1" customWidth="1"/>
    <col min="10418" max="10418" width="20" bestFit="1" customWidth="1"/>
    <col min="10674" max="10674" width="20" bestFit="1" customWidth="1"/>
    <col min="10930" max="10930" width="20" bestFit="1" customWidth="1"/>
    <col min="11186" max="11186" width="20" bestFit="1" customWidth="1"/>
    <col min="11442" max="11442" width="20" bestFit="1" customWidth="1"/>
    <col min="11698" max="11698" width="20" bestFit="1" customWidth="1"/>
    <col min="11954" max="11954" width="20" bestFit="1" customWidth="1"/>
    <col min="12210" max="12210" width="20" bestFit="1" customWidth="1"/>
    <col min="12466" max="12466" width="20" bestFit="1" customWidth="1"/>
    <col min="12722" max="12722" width="20" bestFit="1" customWidth="1"/>
    <col min="12978" max="12978" width="20" bestFit="1" customWidth="1"/>
    <col min="13234" max="13234" width="20" bestFit="1" customWidth="1"/>
    <col min="13490" max="13490" width="20" bestFit="1" customWidth="1"/>
    <col min="13746" max="13746" width="20" bestFit="1" customWidth="1"/>
    <col min="14002" max="14002" width="20" bestFit="1" customWidth="1"/>
    <col min="14258" max="14258" width="20" bestFit="1" customWidth="1"/>
    <col min="14514" max="14514" width="20" bestFit="1" customWidth="1"/>
    <col min="14770" max="14770" width="20" bestFit="1" customWidth="1"/>
    <col min="15026" max="15026" width="20" bestFit="1" customWidth="1"/>
    <col min="15282" max="15282" width="20" bestFit="1" customWidth="1"/>
    <col min="15538" max="15538" width="20" bestFit="1" customWidth="1"/>
    <col min="15794" max="15794" width="20" bestFit="1" customWidth="1"/>
    <col min="16050" max="16050" width="20" bestFit="1" customWidth="1"/>
  </cols>
  <sheetData>
    <row r="1" spans="1:14" ht="18" x14ac:dyDescent="0.25">
      <c r="A1" s="9" t="s">
        <v>30</v>
      </c>
      <c r="B1" s="10"/>
      <c r="C1" s="11"/>
      <c r="D1" s="12"/>
      <c r="E1" s="13"/>
      <c r="F1" s="10"/>
      <c r="G1" s="10"/>
      <c r="H1" s="9"/>
      <c r="I1" s="9"/>
      <c r="J1" s="9"/>
      <c r="K1" s="9"/>
      <c r="L1" s="9"/>
      <c r="M1" s="9"/>
      <c r="N1" s="9"/>
    </row>
    <row r="2" spans="1:14" ht="23.25" x14ac:dyDescent="0.25">
      <c r="A2" s="14" t="s">
        <v>31</v>
      </c>
      <c r="B2" s="15"/>
      <c r="C2" s="15"/>
      <c r="D2" s="15"/>
      <c r="E2" s="15"/>
      <c r="F2" s="15"/>
      <c r="G2" s="15"/>
      <c r="H2" s="15"/>
      <c r="I2" s="16"/>
      <c r="J2" s="16"/>
      <c r="K2" s="16"/>
      <c r="L2" s="16"/>
      <c r="M2" s="16"/>
      <c r="N2" s="16"/>
    </row>
    <row r="3" spans="1:14" x14ac:dyDescent="0.25">
      <c r="A3" s="1"/>
      <c r="B3" s="1"/>
      <c r="C3" s="1"/>
      <c r="D3" s="1"/>
      <c r="E3" s="1"/>
      <c r="F3" s="1"/>
    </row>
    <row r="4" spans="1:14" ht="15" customHeight="1" x14ac:dyDescent="0.25">
      <c r="A4" s="23" t="s">
        <v>33</v>
      </c>
      <c r="B4" s="23"/>
      <c r="C4" s="23"/>
      <c r="D4" s="23"/>
      <c r="E4" s="23"/>
      <c r="F4" s="23"/>
    </row>
    <row r="5" spans="1:14" ht="15" customHeight="1" x14ac:dyDescent="0.25">
      <c r="A5" s="18" t="s">
        <v>41</v>
      </c>
      <c r="B5" s="18" t="s">
        <v>24</v>
      </c>
      <c r="C5" s="18" t="s">
        <v>25</v>
      </c>
      <c r="D5" s="24" t="s">
        <v>26</v>
      </c>
      <c r="E5" s="18" t="s">
        <v>27</v>
      </c>
      <c r="F5" s="18" t="s">
        <v>28</v>
      </c>
    </row>
    <row r="6" spans="1:14" ht="15" customHeight="1" x14ac:dyDescent="0.25">
      <c r="A6" s="19" t="s">
        <v>0</v>
      </c>
      <c r="B6" s="25">
        <v>2.16031480361832</v>
      </c>
      <c r="C6" s="25">
        <v>1.3519083896994459</v>
      </c>
      <c r="D6" s="25">
        <v>0.93777014887149335</v>
      </c>
      <c r="E6" s="26">
        <v>1.4335262245088201</v>
      </c>
      <c r="F6" s="26">
        <v>0.93265372082660392</v>
      </c>
    </row>
    <row r="7" spans="1:14" ht="15" customHeight="1" x14ac:dyDescent="0.25">
      <c r="A7" s="19" t="s">
        <v>22</v>
      </c>
      <c r="B7" s="25">
        <v>-0.1682139112718346</v>
      </c>
      <c r="C7" s="25">
        <v>0.13154971802234172</v>
      </c>
      <c r="D7" s="25">
        <v>-0.6573518181480722</v>
      </c>
      <c r="E7" s="26">
        <v>0.97135869745778791</v>
      </c>
      <c r="F7" s="26">
        <v>0.2500451155388328</v>
      </c>
    </row>
    <row r="8" spans="1:14" ht="15" customHeight="1" x14ac:dyDescent="0.25">
      <c r="A8" s="19" t="s">
        <v>1</v>
      </c>
      <c r="B8" s="25">
        <v>1.8856169255038253</v>
      </c>
      <c r="C8" s="25">
        <v>2.2119124595339343</v>
      </c>
      <c r="D8" s="25">
        <v>2.3881203131441708</v>
      </c>
      <c r="E8" s="26">
        <v>1.3557360725238397</v>
      </c>
      <c r="F8" s="26">
        <v>1.0784018831188513</v>
      </c>
    </row>
    <row r="9" spans="1:14" ht="15" customHeight="1" x14ac:dyDescent="0.25">
      <c r="A9" s="19" t="s">
        <v>2</v>
      </c>
      <c r="B9" s="25">
        <v>2.1568345551425239</v>
      </c>
      <c r="C9" s="25">
        <v>1.6493666970563368</v>
      </c>
      <c r="D9" s="25">
        <v>1.603335184006923</v>
      </c>
      <c r="E9" s="26">
        <v>1.0347952925395134</v>
      </c>
      <c r="F9" s="26">
        <v>0.47317622295448558</v>
      </c>
    </row>
    <row r="10" spans="1:14" ht="15" customHeight="1" x14ac:dyDescent="0.25">
      <c r="A10" s="19" t="s">
        <v>3</v>
      </c>
      <c r="B10" s="25">
        <v>3.3136382288371209</v>
      </c>
      <c r="C10" s="25">
        <v>2.8177879622348883</v>
      </c>
      <c r="D10" s="25">
        <v>1.4682364846516407</v>
      </c>
      <c r="E10" s="26">
        <v>2.4415319151234627</v>
      </c>
      <c r="F10" s="26">
        <v>1.3506790071274422</v>
      </c>
    </row>
    <row r="11" spans="1:14" ht="15" customHeight="1" x14ac:dyDescent="0.25">
      <c r="A11" s="19" t="s">
        <v>23</v>
      </c>
      <c r="B11" s="25">
        <v>1.5717930048770228</v>
      </c>
      <c r="C11" s="25">
        <v>1.2712375458791598</v>
      </c>
      <c r="D11" s="25">
        <v>1.0351799866390081</v>
      </c>
      <c r="E11" s="26">
        <v>1.0631109463673027</v>
      </c>
      <c r="F11" s="26">
        <v>1.3863261218217016</v>
      </c>
    </row>
    <row r="12" spans="1:14" ht="15" customHeight="1" x14ac:dyDescent="0.25">
      <c r="A12" s="19" t="s">
        <v>4</v>
      </c>
      <c r="B12" s="25">
        <v>1.6039837613881218</v>
      </c>
      <c r="C12" s="25">
        <v>1.692791348367308</v>
      </c>
      <c r="D12" s="25">
        <v>1.5840207265143533</v>
      </c>
      <c r="E12" s="26">
        <v>0.99470696091945854</v>
      </c>
      <c r="F12" s="26">
        <v>1.3651058708688879</v>
      </c>
    </row>
    <row r="13" spans="1:14" ht="15" customHeight="1" x14ac:dyDescent="0.25">
      <c r="A13" s="19" t="s">
        <v>5</v>
      </c>
      <c r="B13" s="25">
        <v>1.1310415203007267</v>
      </c>
      <c r="C13" s="25">
        <v>1.0621539775375481</v>
      </c>
      <c r="D13" s="25">
        <v>1.275736542829506</v>
      </c>
      <c r="E13" s="26">
        <v>0.90150064189114687</v>
      </c>
      <c r="F13" s="26">
        <v>1.0688314302387925</v>
      </c>
    </row>
    <row r="14" spans="1:14" ht="15" customHeight="1" x14ac:dyDescent="0.25">
      <c r="A14" s="19" t="s">
        <v>6</v>
      </c>
      <c r="B14" s="25">
        <v>2.3710329023242593</v>
      </c>
      <c r="C14" s="25">
        <v>2.741557937440902</v>
      </c>
      <c r="D14" s="25">
        <v>2.0187976801125984</v>
      </c>
      <c r="E14" s="26">
        <v>1.4043486346214706</v>
      </c>
      <c r="F14" s="26">
        <v>0.78705915522947478</v>
      </c>
    </row>
    <row r="15" spans="1:14" ht="15" customHeight="1" x14ac:dyDescent="0.25">
      <c r="A15" s="19" t="s">
        <v>7</v>
      </c>
      <c r="B15" s="25">
        <v>3.0898444956796851</v>
      </c>
      <c r="C15" s="25">
        <v>2.046016316199271</v>
      </c>
      <c r="D15" s="25">
        <v>1.7916841057388382</v>
      </c>
      <c r="E15" s="26">
        <v>1.237555300691497</v>
      </c>
      <c r="F15" s="26">
        <v>1.2984115098439553</v>
      </c>
    </row>
    <row r="16" spans="1:14" ht="15" customHeight="1" x14ac:dyDescent="0.25">
      <c r="A16" s="19" t="s">
        <v>8</v>
      </c>
      <c r="B16" s="25">
        <v>1.929623470531368</v>
      </c>
      <c r="C16" s="25">
        <v>2.0375618950093042</v>
      </c>
      <c r="D16" s="25">
        <v>1.4175545682547437</v>
      </c>
      <c r="E16" s="26">
        <v>0.98952402187076416</v>
      </c>
      <c r="F16" s="26">
        <v>0.94315028270279821</v>
      </c>
    </row>
    <row r="17" spans="1:8" ht="15" customHeight="1" x14ac:dyDescent="0.25">
      <c r="A17" s="19" t="s">
        <v>9</v>
      </c>
      <c r="B17" s="25">
        <v>1.8854819695755225</v>
      </c>
      <c r="C17" s="25">
        <v>2.725078110148587</v>
      </c>
      <c r="D17" s="25">
        <v>2.7664405133733538</v>
      </c>
      <c r="E17" s="26">
        <v>1.8693548594196159</v>
      </c>
      <c r="F17" s="26">
        <v>0.96892218696642551</v>
      </c>
    </row>
    <row r="18" spans="1:8" ht="15" customHeight="1" x14ac:dyDescent="0.25">
      <c r="A18" s="19" t="s">
        <v>10</v>
      </c>
      <c r="B18" s="25">
        <v>2.0861357569172014</v>
      </c>
      <c r="C18" s="25">
        <v>1.5221453083359222</v>
      </c>
      <c r="D18" s="25">
        <v>1.1248413353817739</v>
      </c>
      <c r="E18" s="26">
        <v>1.3022767877958188</v>
      </c>
      <c r="F18" s="26">
        <v>1.0617230650169063</v>
      </c>
    </row>
    <row r="19" spans="1:8" ht="15" customHeight="1" x14ac:dyDescent="0.25">
      <c r="A19" s="19" t="s">
        <v>11</v>
      </c>
      <c r="B19" s="25">
        <v>2.8886574373171641</v>
      </c>
      <c r="C19" s="25">
        <v>2.6926264950213152</v>
      </c>
      <c r="D19" s="25">
        <v>2.0406452125716754</v>
      </c>
      <c r="E19" s="26">
        <v>1.5947616794558712</v>
      </c>
      <c r="F19" s="26">
        <v>1.1760288268394481</v>
      </c>
    </row>
    <row r="20" spans="1:8" ht="15" customHeight="1" x14ac:dyDescent="0.25">
      <c r="A20" s="19" t="s">
        <v>12</v>
      </c>
      <c r="B20" s="25">
        <v>4.6645848827696454</v>
      </c>
      <c r="C20" s="25">
        <v>4.3330372988100123</v>
      </c>
      <c r="D20" s="25">
        <v>2.0036522158860492</v>
      </c>
      <c r="E20" s="26">
        <v>2.1045890584153284</v>
      </c>
      <c r="F20" s="26">
        <v>2.0148692247397904</v>
      </c>
    </row>
    <row r="21" spans="1:8" ht="15" customHeight="1" x14ac:dyDescent="0.25">
      <c r="A21" s="19" t="s">
        <v>13</v>
      </c>
      <c r="B21" s="25">
        <v>3.8548755081672823</v>
      </c>
      <c r="C21" s="25">
        <v>2.5697574164464925</v>
      </c>
      <c r="D21" s="25">
        <v>0.87354201104574258</v>
      </c>
      <c r="E21" s="27">
        <v>1.7855538172458552</v>
      </c>
      <c r="F21" s="27">
        <v>1.3567582539795175</v>
      </c>
    </row>
    <row r="22" spans="1:8" ht="15" customHeight="1" x14ac:dyDescent="0.25">
      <c r="A22" s="19" t="s">
        <v>14</v>
      </c>
      <c r="B22" s="25">
        <v>2.6603162395106779</v>
      </c>
      <c r="C22" s="25">
        <v>2.4614666512628958</v>
      </c>
      <c r="D22" s="25">
        <v>2.2220851997440434</v>
      </c>
      <c r="E22" s="26">
        <v>1.5486721580454201</v>
      </c>
      <c r="F22" s="26">
        <v>1.2638827013297549</v>
      </c>
    </row>
    <row r="23" spans="1:8" ht="15" customHeight="1" x14ac:dyDescent="0.25">
      <c r="A23" s="19" t="s">
        <v>15</v>
      </c>
      <c r="B23" s="25">
        <v>1.9462193335226345</v>
      </c>
      <c r="C23" s="25">
        <v>1.1549403765805693</v>
      </c>
      <c r="D23" s="25">
        <v>1.6058274172951599</v>
      </c>
      <c r="E23" s="26">
        <v>1.2938799568612041</v>
      </c>
      <c r="F23" s="26">
        <v>1.3565310909957606</v>
      </c>
    </row>
    <row r="24" spans="1:8" ht="15" customHeight="1" x14ac:dyDescent="0.25">
      <c r="A24" s="19" t="s">
        <v>16</v>
      </c>
      <c r="B24" s="25">
        <v>1.5714330974312247</v>
      </c>
      <c r="C24" s="25">
        <v>2.6683791962369412</v>
      </c>
      <c r="D24" s="25">
        <v>2.5346795850797292</v>
      </c>
      <c r="E24" s="26">
        <v>2.1085622305451892</v>
      </c>
      <c r="F24" s="26">
        <v>1.6598349887393615</v>
      </c>
    </row>
    <row r="25" spans="1:8" ht="15" customHeight="1" x14ac:dyDescent="0.25">
      <c r="A25" s="19" t="s">
        <v>17</v>
      </c>
      <c r="B25" s="25">
        <v>3.1297421828714818</v>
      </c>
      <c r="C25" s="25">
        <v>3.043093731990723</v>
      </c>
      <c r="D25" s="25">
        <v>2.1101906765175613</v>
      </c>
      <c r="E25" s="26">
        <v>3.7972414248641968</v>
      </c>
      <c r="F25" s="26">
        <v>1.6056586675038842</v>
      </c>
    </row>
    <row r="26" spans="1:8" ht="15" customHeight="1" x14ac:dyDescent="0.25">
      <c r="A26" s="19" t="s">
        <v>18</v>
      </c>
      <c r="B26" s="25">
        <v>1.4471067260499808</v>
      </c>
      <c r="C26" s="25">
        <v>1.1579474748127438</v>
      </c>
      <c r="D26" s="25">
        <v>0.70034342573279673</v>
      </c>
      <c r="E26" s="26">
        <v>0.91795467005017883</v>
      </c>
      <c r="F26" s="26">
        <v>0.7334947937785774</v>
      </c>
    </row>
    <row r="27" spans="1:8" ht="15" customHeight="1" x14ac:dyDescent="0.25">
      <c r="A27" s="19" t="s">
        <v>19</v>
      </c>
      <c r="B27" s="25">
        <v>1.8470821076513033</v>
      </c>
      <c r="C27" s="25">
        <v>1.1135501468318694</v>
      </c>
      <c r="D27" s="25">
        <v>1.8155547129653513</v>
      </c>
      <c r="E27" s="26">
        <v>0.99264105658718904</v>
      </c>
      <c r="F27" s="26">
        <v>1.5223850981616716</v>
      </c>
    </row>
    <row r="28" spans="1:8" ht="15" customHeight="1" x14ac:dyDescent="0.25">
      <c r="A28" s="19" t="s">
        <v>20</v>
      </c>
      <c r="B28" s="25">
        <v>5.7389042642412846</v>
      </c>
      <c r="C28" s="25">
        <v>8.8264956142123339</v>
      </c>
      <c r="D28" s="25">
        <v>3.8363826699256549</v>
      </c>
      <c r="E28" s="26">
        <v>2.9805328696255913</v>
      </c>
      <c r="F28" s="26">
        <v>3.1327495929297289</v>
      </c>
    </row>
    <row r="29" spans="1:8" ht="15" customHeight="1" x14ac:dyDescent="0.25">
      <c r="A29" s="19" t="s">
        <v>21</v>
      </c>
      <c r="B29" s="25">
        <v>2.4177333189808934</v>
      </c>
      <c r="C29" s="25">
        <v>1.4706997652651239</v>
      </c>
      <c r="D29" s="25">
        <v>1.5995958839264119</v>
      </c>
      <c r="E29" s="26">
        <v>1.1924883757313864</v>
      </c>
      <c r="F29" s="26">
        <v>1.1249872889474322</v>
      </c>
    </row>
    <row r="30" spans="1:8" ht="15" customHeight="1" x14ac:dyDescent="0.25">
      <c r="A30" s="21" t="s">
        <v>37</v>
      </c>
      <c r="B30" s="28">
        <v>1.8072465192464477</v>
      </c>
      <c r="C30" s="28">
        <v>1.4141114293729515</v>
      </c>
      <c r="D30" s="28">
        <v>1.0649334430828077</v>
      </c>
      <c r="E30" s="29">
        <v>1.31614410212417</v>
      </c>
      <c r="F30" s="29">
        <v>1.0148182466138689</v>
      </c>
    </row>
    <row r="31" spans="1:8" ht="12.75" customHeight="1" x14ac:dyDescent="0.25">
      <c r="A31" s="4"/>
      <c r="B31" s="4"/>
      <c r="C31" s="4"/>
      <c r="D31" s="4"/>
      <c r="E31" s="4"/>
      <c r="F31" s="1"/>
    </row>
    <row r="32" spans="1:8" ht="15" customHeight="1" x14ac:dyDescent="0.25">
      <c r="A32" s="46" t="s">
        <v>56</v>
      </c>
      <c r="B32" s="46"/>
      <c r="C32" s="46"/>
      <c r="D32" s="46"/>
      <c r="E32" s="46"/>
      <c r="F32" s="46"/>
      <c r="G32" s="48"/>
      <c r="H32" s="48"/>
    </row>
    <row r="33" spans="1:8" ht="15" customHeight="1" x14ac:dyDescent="0.25">
      <c r="A33" s="46"/>
      <c r="B33" s="46"/>
      <c r="C33" s="46"/>
      <c r="D33" s="46"/>
      <c r="E33" s="46"/>
      <c r="F33" s="46"/>
      <c r="G33" s="48"/>
      <c r="H33" s="48"/>
    </row>
    <row r="34" spans="1:8" ht="15" customHeight="1" x14ac:dyDescent="0.25">
      <c r="A34" s="46" t="s">
        <v>40</v>
      </c>
      <c r="B34" s="3"/>
      <c r="C34" s="3"/>
      <c r="D34" s="3"/>
      <c r="E34" s="3"/>
      <c r="F34" s="3"/>
      <c r="G34" s="48"/>
      <c r="H34" s="48"/>
    </row>
    <row r="35" spans="1:8" x14ac:dyDescent="0.25">
      <c r="A35" s="51"/>
      <c r="B35" s="51"/>
      <c r="C35" s="51"/>
      <c r="D35" s="51"/>
      <c r="E35" s="51"/>
      <c r="F35" s="8"/>
      <c r="G35" s="48"/>
      <c r="H35" s="48"/>
    </row>
    <row r="36" spans="1:8" x14ac:dyDescent="0.25">
      <c r="A36" s="5"/>
      <c r="B36" s="5"/>
      <c r="C36" s="5"/>
      <c r="D36" s="5"/>
      <c r="E36" s="5"/>
      <c r="F36" s="6"/>
    </row>
    <row r="37" spans="1:8" x14ac:dyDescent="0.25">
      <c r="A37" s="5"/>
      <c r="B37" s="5"/>
      <c r="C37" s="5"/>
      <c r="D37" s="5"/>
      <c r="E37" s="5"/>
      <c r="F37" s="6"/>
    </row>
    <row r="38" spans="1:8" x14ac:dyDescent="0.25">
      <c r="A38" s="5"/>
      <c r="B38" s="5"/>
      <c r="C38" s="5"/>
      <c r="D38" s="5"/>
      <c r="E38" s="5"/>
      <c r="F38" s="6"/>
    </row>
  </sheetData>
  <hyperlinks>
    <hyperlink ref="A2" r:id="rId1" xr:uid="{00000000-0004-0000-0200-000000000000}"/>
  </hyperlinks>
  <pageMargins left="0.23622047244094491" right="0.23622047244094491" top="0.55118110236220474" bottom="0.55118110236220474" header="0.31496062992125984" footer="0.31496062992125984"/>
  <pageSetup paperSize="9" scale="97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37"/>
  <sheetViews>
    <sheetView showGridLines="0" topLeftCell="A4" workbookViewId="0">
      <selection activeCell="A32" sqref="A32"/>
    </sheetView>
  </sheetViews>
  <sheetFormatPr baseColWidth="10" defaultRowHeight="15" x14ac:dyDescent="0.25"/>
  <cols>
    <col min="1" max="1" width="21.7109375" customWidth="1"/>
    <col min="2" max="2" width="11.42578125" customWidth="1"/>
    <col min="154" max="154" width="20" bestFit="1" customWidth="1"/>
    <col min="410" max="410" width="20" bestFit="1" customWidth="1"/>
    <col min="666" max="666" width="20" bestFit="1" customWidth="1"/>
    <col min="922" max="922" width="20" bestFit="1" customWidth="1"/>
    <col min="1178" max="1178" width="20" bestFit="1" customWidth="1"/>
    <col min="1434" max="1434" width="20" bestFit="1" customWidth="1"/>
    <col min="1690" max="1690" width="20" bestFit="1" customWidth="1"/>
    <col min="1946" max="1946" width="20" bestFit="1" customWidth="1"/>
    <col min="2202" max="2202" width="20" bestFit="1" customWidth="1"/>
    <col min="2458" max="2458" width="20" bestFit="1" customWidth="1"/>
    <col min="2714" max="2714" width="20" bestFit="1" customWidth="1"/>
    <col min="2970" max="2970" width="20" bestFit="1" customWidth="1"/>
    <col min="3226" max="3226" width="20" bestFit="1" customWidth="1"/>
    <col min="3482" max="3482" width="20" bestFit="1" customWidth="1"/>
    <col min="3738" max="3738" width="20" bestFit="1" customWidth="1"/>
    <col min="3994" max="3994" width="20" bestFit="1" customWidth="1"/>
    <col min="4250" max="4250" width="20" bestFit="1" customWidth="1"/>
    <col min="4506" max="4506" width="20" bestFit="1" customWidth="1"/>
    <col min="4762" max="4762" width="20" bestFit="1" customWidth="1"/>
    <col min="5018" max="5018" width="20" bestFit="1" customWidth="1"/>
    <col min="5274" max="5274" width="20" bestFit="1" customWidth="1"/>
    <col min="5530" max="5530" width="20" bestFit="1" customWidth="1"/>
    <col min="5786" max="5786" width="20" bestFit="1" customWidth="1"/>
    <col min="6042" max="6042" width="20" bestFit="1" customWidth="1"/>
    <col min="6298" max="6298" width="20" bestFit="1" customWidth="1"/>
    <col min="6554" max="6554" width="20" bestFit="1" customWidth="1"/>
    <col min="6810" max="6810" width="20" bestFit="1" customWidth="1"/>
    <col min="7066" max="7066" width="20" bestFit="1" customWidth="1"/>
    <col min="7322" max="7322" width="20" bestFit="1" customWidth="1"/>
    <col min="7578" max="7578" width="20" bestFit="1" customWidth="1"/>
    <col min="7834" max="7834" width="20" bestFit="1" customWidth="1"/>
    <col min="8090" max="8090" width="20" bestFit="1" customWidth="1"/>
    <col min="8346" max="8346" width="20" bestFit="1" customWidth="1"/>
    <col min="8602" max="8602" width="20" bestFit="1" customWidth="1"/>
    <col min="8858" max="8858" width="20" bestFit="1" customWidth="1"/>
    <col min="9114" max="9114" width="20" bestFit="1" customWidth="1"/>
    <col min="9370" max="9370" width="20" bestFit="1" customWidth="1"/>
    <col min="9626" max="9626" width="20" bestFit="1" customWidth="1"/>
    <col min="9882" max="9882" width="20" bestFit="1" customWidth="1"/>
    <col min="10138" max="10138" width="20" bestFit="1" customWidth="1"/>
    <col min="10394" max="10394" width="20" bestFit="1" customWidth="1"/>
    <col min="10650" max="10650" width="20" bestFit="1" customWidth="1"/>
    <col min="10906" max="10906" width="20" bestFit="1" customWidth="1"/>
    <col min="11162" max="11162" width="20" bestFit="1" customWidth="1"/>
    <col min="11418" max="11418" width="20" bestFit="1" customWidth="1"/>
    <col min="11674" max="11674" width="20" bestFit="1" customWidth="1"/>
    <col min="11930" max="11930" width="20" bestFit="1" customWidth="1"/>
    <col min="12186" max="12186" width="20" bestFit="1" customWidth="1"/>
    <col min="12442" max="12442" width="20" bestFit="1" customWidth="1"/>
    <col min="12698" max="12698" width="20" bestFit="1" customWidth="1"/>
    <col min="12954" max="12954" width="20" bestFit="1" customWidth="1"/>
    <col min="13210" max="13210" width="20" bestFit="1" customWidth="1"/>
    <col min="13466" max="13466" width="20" bestFit="1" customWidth="1"/>
    <col min="13722" max="13722" width="20" bestFit="1" customWidth="1"/>
    <col min="13978" max="13978" width="20" bestFit="1" customWidth="1"/>
    <col min="14234" max="14234" width="20" bestFit="1" customWidth="1"/>
    <col min="14490" max="14490" width="20" bestFit="1" customWidth="1"/>
    <col min="14746" max="14746" width="20" bestFit="1" customWidth="1"/>
    <col min="15002" max="15002" width="20" bestFit="1" customWidth="1"/>
    <col min="15258" max="15258" width="20" bestFit="1" customWidth="1"/>
    <col min="15514" max="15514" width="20" bestFit="1" customWidth="1"/>
    <col min="15770" max="15770" width="20" bestFit="1" customWidth="1"/>
    <col min="16026" max="16026" width="20" bestFit="1" customWidth="1"/>
  </cols>
  <sheetData>
    <row r="1" spans="1:3" x14ac:dyDescent="0.25">
      <c r="A1" s="9" t="s">
        <v>30</v>
      </c>
    </row>
    <row r="2" spans="1:3" x14ac:dyDescent="0.25">
      <c r="A2" s="14" t="s">
        <v>31</v>
      </c>
      <c r="B2" s="14"/>
    </row>
    <row r="3" spans="1:3" x14ac:dyDescent="0.25">
      <c r="A3" s="1"/>
    </row>
    <row r="4" spans="1:3" ht="15" customHeight="1" x14ac:dyDescent="0.25">
      <c r="A4" s="23" t="s">
        <v>34</v>
      </c>
    </row>
    <row r="5" spans="1:3" ht="15" customHeight="1" x14ac:dyDescent="0.25">
      <c r="A5" s="18" t="s">
        <v>41</v>
      </c>
      <c r="B5" s="18">
        <v>2010</v>
      </c>
      <c r="C5" s="18">
        <v>2022</v>
      </c>
    </row>
    <row r="6" spans="1:3" ht="15" customHeight="1" x14ac:dyDescent="0.25">
      <c r="A6" s="19" t="s">
        <v>0</v>
      </c>
      <c r="B6" s="30">
        <v>50.801551511683478</v>
      </c>
      <c r="C6" s="30">
        <v>57.3</v>
      </c>
    </row>
    <row r="7" spans="1:3" ht="15" customHeight="1" x14ac:dyDescent="0.25">
      <c r="A7" s="19" t="s">
        <v>22</v>
      </c>
      <c r="B7" s="30">
        <v>14450.754999999999</v>
      </c>
      <c r="C7" s="30">
        <v>15161.3</v>
      </c>
    </row>
    <row r="8" spans="1:3" ht="15" customHeight="1" x14ac:dyDescent="0.25">
      <c r="A8" s="19" t="s">
        <v>1</v>
      </c>
      <c r="B8" s="30">
        <v>3.5849983431122201</v>
      </c>
      <c r="C8" s="30">
        <v>4.2</v>
      </c>
    </row>
    <row r="9" spans="1:3" ht="15" customHeight="1" x14ac:dyDescent="0.25">
      <c r="A9" s="19" t="s">
        <v>2</v>
      </c>
      <c r="B9" s="30">
        <v>10.591460660624492</v>
      </c>
      <c r="C9" s="30">
        <v>11.3</v>
      </c>
    </row>
    <row r="10" spans="1:3" ht="15" customHeight="1" x14ac:dyDescent="0.25">
      <c r="A10" s="19" t="s">
        <v>3</v>
      </c>
      <c r="B10" s="30">
        <v>2.2658643618204963</v>
      </c>
      <c r="C10" s="30">
        <v>2.6</v>
      </c>
    </row>
    <row r="11" spans="1:3" ht="15" customHeight="1" x14ac:dyDescent="0.25">
      <c r="A11" s="19" t="s">
        <v>23</v>
      </c>
      <c r="B11" s="30">
        <v>20.014855946915397</v>
      </c>
      <c r="C11" s="30">
        <v>23.3</v>
      </c>
    </row>
    <row r="12" spans="1:3" ht="15" customHeight="1" x14ac:dyDescent="0.25">
      <c r="A12" s="19" t="s">
        <v>4</v>
      </c>
      <c r="B12" s="30">
        <v>11.254039161441741</v>
      </c>
      <c r="C12" s="30">
        <v>13.6</v>
      </c>
    </row>
    <row r="13" spans="1:3" ht="15" customHeight="1" x14ac:dyDescent="0.25">
      <c r="A13" s="19" t="s">
        <v>5</v>
      </c>
      <c r="B13" s="30">
        <v>15.68898592300174</v>
      </c>
      <c r="C13" s="30">
        <v>18.2</v>
      </c>
    </row>
    <row r="14" spans="1:3" ht="15" customHeight="1" x14ac:dyDescent="0.25">
      <c r="A14" s="19" t="s">
        <v>6</v>
      </c>
      <c r="B14" s="30">
        <v>7.3566175450281683</v>
      </c>
      <c r="C14" s="30">
        <v>8</v>
      </c>
    </row>
    <row r="15" spans="1:3" ht="15" customHeight="1" x14ac:dyDescent="0.25">
      <c r="A15" s="19" t="s">
        <v>7</v>
      </c>
      <c r="B15" s="30">
        <v>12.651628177906387</v>
      </c>
      <c r="C15" s="30">
        <v>15.2</v>
      </c>
    </row>
    <row r="16" spans="1:3" ht="15" customHeight="1" x14ac:dyDescent="0.25">
      <c r="A16" s="19" t="s">
        <v>8</v>
      </c>
      <c r="B16" s="30">
        <v>2.223584774121584</v>
      </c>
      <c r="C16" s="30">
        <v>2.5</v>
      </c>
    </row>
    <row r="17" spans="1:3" ht="15" customHeight="1" x14ac:dyDescent="0.25">
      <c r="A17" s="19" t="s">
        <v>9</v>
      </c>
      <c r="B17" s="30">
        <v>3.7203612845673506</v>
      </c>
      <c r="C17" s="30">
        <v>4.2</v>
      </c>
    </row>
    <row r="18" spans="1:3" ht="15" customHeight="1" x14ac:dyDescent="0.25">
      <c r="A18" s="19" t="s">
        <v>10</v>
      </c>
      <c r="B18" s="30">
        <v>11.684230683948478</v>
      </c>
      <c r="C18" s="30">
        <v>13.7</v>
      </c>
    </row>
    <row r="19" spans="1:3" ht="15" customHeight="1" x14ac:dyDescent="0.25">
      <c r="A19" s="19" t="s">
        <v>11</v>
      </c>
      <c r="B19" s="30">
        <v>36.964967618536292</v>
      </c>
      <c r="C19" s="30">
        <v>42.8</v>
      </c>
    </row>
    <row r="20" spans="1:3" ht="15" customHeight="1" x14ac:dyDescent="0.25">
      <c r="A20" s="19" t="s">
        <v>12</v>
      </c>
      <c r="B20" s="30">
        <v>5.8596696358340949</v>
      </c>
      <c r="C20" s="30">
        <v>7.5</v>
      </c>
    </row>
    <row r="21" spans="1:3" ht="15" customHeight="1" x14ac:dyDescent="0.25">
      <c r="A21" s="19" t="s">
        <v>13</v>
      </c>
      <c r="B21" s="30">
        <v>3.1458330254712754</v>
      </c>
      <c r="C21" s="30">
        <v>3.7</v>
      </c>
    </row>
    <row r="22" spans="1:3" ht="15" customHeight="1" x14ac:dyDescent="0.25">
      <c r="A22" s="19" t="s">
        <v>14</v>
      </c>
      <c r="B22" s="30">
        <v>7.8105127083762094</v>
      </c>
      <c r="C22" s="30">
        <v>9.3000000000000007</v>
      </c>
    </row>
    <row r="23" spans="1:3" ht="15" customHeight="1" x14ac:dyDescent="0.25">
      <c r="A23" s="19" t="s">
        <v>15</v>
      </c>
      <c r="B23" s="30">
        <v>7.5967362327246768</v>
      </c>
      <c r="C23" s="30">
        <v>9.3000000000000007</v>
      </c>
    </row>
    <row r="24" spans="1:3" ht="15" customHeight="1" x14ac:dyDescent="0.25">
      <c r="A24" s="19" t="s">
        <v>16</v>
      </c>
      <c r="B24" s="30">
        <v>5.6328503674362853</v>
      </c>
      <c r="C24" s="30">
        <v>7.2</v>
      </c>
    </row>
    <row r="25" spans="1:3" ht="15" customHeight="1" x14ac:dyDescent="0.25">
      <c r="A25" s="19" t="s">
        <v>17</v>
      </c>
      <c r="B25" s="30">
        <v>1.1230656341850351</v>
      </c>
      <c r="C25" s="30">
        <v>1.4</v>
      </c>
    </row>
    <row r="26" spans="1:3" ht="15" customHeight="1" x14ac:dyDescent="0.25">
      <c r="A26" s="19" t="s">
        <v>18</v>
      </c>
      <c r="B26" s="30">
        <v>24.017811092649261</v>
      </c>
      <c r="C26" s="30">
        <v>26.6</v>
      </c>
    </row>
    <row r="27" spans="1:3" ht="15" customHeight="1" x14ac:dyDescent="0.25">
      <c r="A27" s="19" t="s">
        <v>19</v>
      </c>
      <c r="B27" s="30">
        <v>6.4099713240093585</v>
      </c>
      <c r="C27" s="30">
        <v>7.7</v>
      </c>
    </row>
    <row r="28" spans="1:3" ht="15" customHeight="1" x14ac:dyDescent="0.25">
      <c r="A28" s="19" t="s">
        <v>50</v>
      </c>
      <c r="B28" s="54">
        <f>127205/superficie!B28</f>
        <v>0.13973590074043934</v>
      </c>
      <c r="C28" s="54">
        <f>+'[1]Cuadro 2'!$F$29/superficie!B28</f>
        <v>0.20402836615167075</v>
      </c>
    </row>
    <row r="29" spans="1:3" ht="15" customHeight="1" x14ac:dyDescent="0.25">
      <c r="A29" s="19" t="s">
        <v>21</v>
      </c>
      <c r="B29" s="30">
        <v>64.295329426389628</v>
      </c>
      <c r="C29" s="30">
        <v>76.7</v>
      </c>
    </row>
    <row r="30" spans="1:3" s="60" customFormat="1" ht="15.75" customHeight="1" x14ac:dyDescent="0.25">
      <c r="A30" s="58" t="s">
        <v>37</v>
      </c>
      <c r="B30" s="59">
        <v>10.7</v>
      </c>
      <c r="C30" s="59">
        <v>12.5</v>
      </c>
    </row>
    <row r="31" spans="1:3" ht="12.75" customHeight="1" x14ac:dyDescent="0.25">
      <c r="A31" s="4"/>
    </row>
    <row r="32" spans="1:3" ht="15" customHeight="1" x14ac:dyDescent="0.25">
      <c r="A32" s="56" t="s">
        <v>58</v>
      </c>
    </row>
    <row r="33" spans="1:1" ht="15" customHeight="1" x14ac:dyDescent="0.25">
      <c r="A33" s="57" t="s">
        <v>51</v>
      </c>
    </row>
    <row r="34" spans="1:1" ht="15" customHeight="1" x14ac:dyDescent="0.25">
      <c r="A34" s="57"/>
    </row>
    <row r="35" spans="1:1" x14ac:dyDescent="0.25">
      <c r="A35" s="56" t="s">
        <v>52</v>
      </c>
    </row>
    <row r="36" spans="1:1" x14ac:dyDescent="0.25">
      <c r="A36" s="56" t="s">
        <v>55</v>
      </c>
    </row>
    <row r="37" spans="1:1" x14ac:dyDescent="0.25">
      <c r="A37" s="5"/>
    </row>
  </sheetData>
  <hyperlinks>
    <hyperlink ref="A2" r:id="rId1" xr:uid="{00000000-0004-0000-0300-000000000000}"/>
    <hyperlink ref="A33" r:id="rId2" tooltip="https://www.indec.gob.ar/ftp/cuadros/poblacion/c2022_tp_est_c2.xlsx" display="https://www.indec.gob.ar/ftp/cuadros/poblacion/c2022_tp_est_c2.xlsx" xr:uid="{1E814A55-93DA-4D22-9E65-96220FBE509B}"/>
  </hyperlinks>
  <pageMargins left="0.23622047244094491" right="0.23622047244094491" top="0.55118110236220474" bottom="0.55118110236220474" header="0.31496062992125984" footer="0.31496062992125984"/>
  <pageSetup paperSize="9" scale="97" orientation="landscape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7"/>
  <sheetViews>
    <sheetView showGridLines="0" tabSelected="1" topLeftCell="A4" workbookViewId="0">
      <selection activeCell="G17" sqref="G17"/>
    </sheetView>
  </sheetViews>
  <sheetFormatPr baseColWidth="10" defaultRowHeight="15" x14ac:dyDescent="0.25"/>
  <cols>
    <col min="1" max="1" width="21.7109375" customWidth="1"/>
    <col min="2" max="2" width="11.42578125" customWidth="1"/>
  </cols>
  <sheetData>
    <row r="1" spans="1:14" ht="18" x14ac:dyDescent="0.25">
      <c r="A1" s="9" t="s">
        <v>30</v>
      </c>
      <c r="B1" s="10"/>
      <c r="C1" s="11"/>
      <c r="D1" s="12"/>
      <c r="E1" s="13"/>
      <c r="F1" s="10"/>
      <c r="G1" s="10"/>
      <c r="H1" s="9"/>
      <c r="I1" s="9"/>
      <c r="J1" s="9"/>
      <c r="K1" s="9"/>
      <c r="L1" s="9"/>
      <c r="M1" s="9"/>
      <c r="N1" s="9"/>
    </row>
    <row r="2" spans="1:14" ht="23.25" x14ac:dyDescent="0.25">
      <c r="A2" s="14" t="s">
        <v>31</v>
      </c>
      <c r="B2" s="15"/>
      <c r="C2" s="15"/>
      <c r="D2" s="15"/>
      <c r="E2" s="15"/>
      <c r="F2" s="15"/>
      <c r="G2" s="15"/>
      <c r="H2" s="15"/>
      <c r="I2" s="16"/>
      <c r="J2" s="16"/>
      <c r="K2" s="16"/>
      <c r="L2" s="16"/>
      <c r="M2" s="16"/>
      <c r="N2" s="16"/>
    </row>
    <row r="4" spans="1:14" ht="15" customHeight="1" x14ac:dyDescent="0.25">
      <c r="A4" s="17" t="s">
        <v>36</v>
      </c>
      <c r="B4" s="17"/>
    </row>
    <row r="5" spans="1:14" ht="15" customHeight="1" x14ac:dyDescent="0.25">
      <c r="A5" s="18" t="s">
        <v>41</v>
      </c>
      <c r="B5" s="18" t="s">
        <v>29</v>
      </c>
    </row>
    <row r="6" spans="1:14" ht="15" customHeight="1" x14ac:dyDescent="0.25">
      <c r="A6" s="19" t="s">
        <v>0</v>
      </c>
      <c r="B6" s="20">
        <v>305907.40000000002</v>
      </c>
    </row>
    <row r="7" spans="1:14" ht="15" customHeight="1" x14ac:dyDescent="0.25">
      <c r="A7" s="19" t="s">
        <v>22</v>
      </c>
      <c r="B7" s="20">
        <v>205.9</v>
      </c>
    </row>
    <row r="8" spans="1:14" ht="15" customHeight="1" x14ac:dyDescent="0.25">
      <c r="A8" s="19" t="s">
        <v>1</v>
      </c>
      <c r="B8" s="20">
        <v>101486.1</v>
      </c>
    </row>
    <row r="9" spans="1:14" ht="15" customHeight="1" x14ac:dyDescent="0.25">
      <c r="A9" s="19" t="s">
        <v>2</v>
      </c>
      <c r="B9" s="20">
        <v>99763.3</v>
      </c>
    </row>
    <row r="10" spans="1:14" ht="15" customHeight="1" x14ac:dyDescent="0.25">
      <c r="A10" s="19" t="s">
        <v>3</v>
      </c>
      <c r="B10" s="20">
        <v>224302.3</v>
      </c>
    </row>
    <row r="11" spans="1:14" ht="15" customHeight="1" x14ac:dyDescent="0.25">
      <c r="A11" s="19" t="s">
        <v>23</v>
      </c>
      <c r="B11" s="20">
        <v>164707.79999999999</v>
      </c>
    </row>
    <row r="12" spans="1:14" ht="15" customHeight="1" x14ac:dyDescent="0.25">
      <c r="A12" s="19" t="s">
        <v>4</v>
      </c>
      <c r="B12" s="20">
        <v>89123.3</v>
      </c>
    </row>
    <row r="13" spans="1:14" ht="15" customHeight="1" x14ac:dyDescent="0.25">
      <c r="A13" s="19" t="s">
        <v>5</v>
      </c>
      <c r="B13" s="20">
        <v>78383.7</v>
      </c>
    </row>
    <row r="14" spans="1:14" ht="15" customHeight="1" x14ac:dyDescent="0.25">
      <c r="A14" s="19" t="s">
        <v>6</v>
      </c>
      <c r="B14" s="20">
        <v>75488.3</v>
      </c>
    </row>
    <row r="15" spans="1:14" ht="15" customHeight="1" x14ac:dyDescent="0.25">
      <c r="A15" s="19" t="s">
        <v>7</v>
      </c>
      <c r="B15" s="20">
        <v>53244.2</v>
      </c>
    </row>
    <row r="16" spans="1:14" ht="15" customHeight="1" x14ac:dyDescent="0.25">
      <c r="A16" s="19" t="s">
        <v>8</v>
      </c>
      <c r="B16" s="20">
        <v>143492.5</v>
      </c>
    </row>
    <row r="17" spans="1:2" ht="15" customHeight="1" x14ac:dyDescent="0.25">
      <c r="A17" s="19" t="s">
        <v>9</v>
      </c>
      <c r="B17" s="20">
        <v>91493.7</v>
      </c>
    </row>
    <row r="18" spans="1:2" ht="15" customHeight="1" x14ac:dyDescent="0.25">
      <c r="A18" s="19" t="s">
        <v>10</v>
      </c>
      <c r="B18" s="20">
        <v>149069.20000000001</v>
      </c>
    </row>
    <row r="19" spans="1:2" ht="15" customHeight="1" x14ac:dyDescent="0.25">
      <c r="A19" s="19" t="s">
        <v>11</v>
      </c>
      <c r="B19" s="20">
        <v>29911.4</v>
      </c>
    </row>
    <row r="20" spans="1:2" ht="15" customHeight="1" x14ac:dyDescent="0.25">
      <c r="A20" s="19" t="s">
        <v>12</v>
      </c>
      <c r="B20" s="20">
        <v>94422</v>
      </c>
    </row>
    <row r="21" spans="1:2" ht="15" customHeight="1" x14ac:dyDescent="0.25">
      <c r="A21" s="19" t="s">
        <v>13</v>
      </c>
      <c r="B21" s="20">
        <v>202168.6</v>
      </c>
    </row>
    <row r="22" spans="1:2" ht="15" customHeight="1" x14ac:dyDescent="0.25">
      <c r="A22" s="19" t="s">
        <v>14</v>
      </c>
      <c r="B22" s="20">
        <v>155340.5</v>
      </c>
    </row>
    <row r="23" spans="1:2" ht="15" customHeight="1" x14ac:dyDescent="0.25">
      <c r="A23" s="19" t="s">
        <v>15</v>
      </c>
      <c r="B23" s="20">
        <v>88296.2</v>
      </c>
    </row>
    <row r="24" spans="1:2" ht="15" customHeight="1" x14ac:dyDescent="0.25">
      <c r="A24" s="19" t="s">
        <v>16</v>
      </c>
      <c r="B24" s="20">
        <v>75347.100000000006</v>
      </c>
    </row>
    <row r="25" spans="1:2" ht="15" customHeight="1" x14ac:dyDescent="0.25">
      <c r="A25" s="19" t="s">
        <v>17</v>
      </c>
      <c r="B25" s="20">
        <v>244457.5</v>
      </c>
    </row>
    <row r="26" spans="1:2" ht="15" customHeight="1" x14ac:dyDescent="0.25">
      <c r="A26" s="19" t="s">
        <v>18</v>
      </c>
      <c r="B26" s="20">
        <v>133249.1</v>
      </c>
    </row>
    <row r="27" spans="1:2" ht="15" customHeight="1" x14ac:dyDescent="0.25">
      <c r="A27" s="19" t="s">
        <v>19</v>
      </c>
      <c r="B27" s="20">
        <v>136934.29999999999</v>
      </c>
    </row>
    <row r="28" spans="1:2" ht="15" customHeight="1" x14ac:dyDescent="0.25">
      <c r="A28" s="19" t="s">
        <v>50</v>
      </c>
      <c r="B28" s="20">
        <v>910324.4</v>
      </c>
    </row>
    <row r="29" spans="1:2" ht="15" customHeight="1" x14ac:dyDescent="0.25">
      <c r="A29" s="19" t="s">
        <v>21</v>
      </c>
      <c r="B29" s="20">
        <v>22592.1</v>
      </c>
    </row>
    <row r="30" spans="1:2" ht="15" customHeight="1" x14ac:dyDescent="0.25">
      <c r="A30" s="21" t="s">
        <v>37</v>
      </c>
      <c r="B30" s="22">
        <v>3669710.9</v>
      </c>
    </row>
    <row r="31" spans="1:2" x14ac:dyDescent="0.25">
      <c r="A31" s="4"/>
      <c r="B31" s="4"/>
    </row>
    <row r="32" spans="1:2" x14ac:dyDescent="0.25">
      <c r="A32" s="56" t="s">
        <v>58</v>
      </c>
      <c r="B32" s="7"/>
    </row>
    <row r="33" spans="1:2" ht="14.25" customHeight="1" x14ac:dyDescent="0.25">
      <c r="A33" s="55" t="s">
        <v>51</v>
      </c>
    </row>
    <row r="34" spans="1:2" x14ac:dyDescent="0.25">
      <c r="A34" s="61" t="s">
        <v>53</v>
      </c>
    </row>
    <row r="35" spans="1:2" x14ac:dyDescent="0.25">
      <c r="A35" s="5"/>
      <c r="B35" s="5"/>
    </row>
    <row r="36" spans="1:2" x14ac:dyDescent="0.25">
      <c r="A36" s="5"/>
      <c r="B36" s="5"/>
    </row>
    <row r="37" spans="1:2" x14ac:dyDescent="0.25">
      <c r="A37" s="5"/>
      <c r="B37" s="5"/>
    </row>
  </sheetData>
  <hyperlinks>
    <hyperlink ref="A2" r:id="rId1" xr:uid="{00000000-0004-0000-0400-000000000000}"/>
    <hyperlink ref="A33" r:id="rId2" tooltip="https://www.indec.gob.ar/ftp/cuadros/poblacion/c2022_tp_est_c2.xlsx" display="https://www.indec.gob.ar/ftp/cuadros/poblacion/c2022_tp_est_c2.xlsx" xr:uid="{675E33E9-016A-4963-AEFA-25C8AA95D51F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poblacion</vt:lpstr>
      <vt:lpstr>indice_femineidad</vt:lpstr>
      <vt:lpstr>crecimiento_poblacional</vt:lpstr>
      <vt:lpstr>densidad</vt:lpstr>
      <vt:lpstr>superficie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Ammendola</dc:creator>
  <cp:lastModifiedBy>mpbrizu@provincias.mecon.ar</cp:lastModifiedBy>
  <cp:lastPrinted>2023-09-14T15:14:59Z</cp:lastPrinted>
  <dcterms:created xsi:type="dcterms:W3CDTF">2015-10-22T15:21:57Z</dcterms:created>
  <dcterms:modified xsi:type="dcterms:W3CDTF">2025-11-13T19:32:02Z</dcterms:modified>
</cp:coreProperties>
</file>